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myPython\_QtDesigner\_RvbellInputApp\_入力アプリ画像付き_防災2025Q2\"/>
    </mc:Choice>
  </mc:AlternateContent>
  <xr:revisionPtr revIDLastSave="0" documentId="13_ncr:1_{1E9D2378-4EB7-4C3E-92EC-0BD021E6D6AE}" xr6:coauthVersionLast="47" xr6:coauthVersionMax="47" xr10:uidLastSave="{00000000-0000-0000-0000-000000000000}"/>
  <bookViews>
    <workbookView xWindow="-108" yWindow="-108" windowWidth="23256" windowHeight="12456" tabRatio="686" activeTab="1" xr2:uid="{00000000-000D-0000-FFFF-FFFF00000000}"/>
  </bookViews>
  <sheets>
    <sheet name="入力仕様" sheetId="11" r:id="rId1"/>
    <sheet name="変換前のテーブル" sheetId="5" r:id="rId2"/>
    <sheet name="result" sheetId="4" r:id="rId3"/>
    <sheet name="calcu1" sheetId="2" r:id="rId4"/>
    <sheet name="calcu2" sheetId="3" r:id="rId5"/>
    <sheet name="config" sheetId="1" r:id="rId6"/>
    <sheet name="名刺サンプル" sheetId="6" r:id="rId7"/>
    <sheet name="Memo" sheetId="8" r:id="rId8"/>
    <sheet name="ヘッダーリスト" sheetId="10" r:id="rId9"/>
  </sheets>
  <definedNames>
    <definedName name="__123Graph_A00ｱｼﾞｱ･欧米" hidden="1">#REF!</definedName>
    <definedName name="__123Graph_A01積重ね" hidden="1">#REF!</definedName>
    <definedName name="__123Graph_Aアジア1" hidden="1">#REF!</definedName>
    <definedName name="__123Graph_Aアジア2" hidden="1">#REF!</definedName>
    <definedName name="__123Graph_Aアフリカ" hidden="1">#REF!</definedName>
    <definedName name="__123Graph_Aオセアニア" hidden="1">#REF!</definedName>
    <definedName name="__123Graph_Aヨーロッパ1" hidden="1">#REF!</definedName>
    <definedName name="__123Graph_Aヨーロッパ2" hidden="1">#REF!</definedName>
    <definedName name="__123Graph_A出国者数" hidden="1">#REF!</definedName>
    <definedName name="__123Graph_A出国旅客" hidden="1">#REF!</definedName>
    <definedName name="__123Graph_A出入国者数" hidden="1">#REF!</definedName>
    <definedName name="__123Graph_A南アメリカ" hidden="1">#REF!</definedName>
    <definedName name="__123Graph_A入国者数" hidden="1">#REF!</definedName>
    <definedName name="__123Graph_A入国旅客" hidden="1">#REF!</definedName>
    <definedName name="__123Graph_A北アメリカ" hidden="1">#REF!</definedName>
    <definedName name="__123Graph_B00ｱｼﾞｱ･欧米" hidden="1">#REF!</definedName>
    <definedName name="__123Graph_B01積重ね" hidden="1">#REF!</definedName>
    <definedName name="__123Graph_Bアジア1" hidden="1">#REF!</definedName>
    <definedName name="__123Graph_Bアジア2" hidden="1">#REF!</definedName>
    <definedName name="__123Graph_Bアフリカ" hidden="1">#REF!</definedName>
    <definedName name="__123Graph_Bオセアニア" hidden="1">#REF!</definedName>
    <definedName name="__123Graph_Bヨーロッパ1" hidden="1">#REF!</definedName>
    <definedName name="__123Graph_Bヨーロッパ2" hidden="1">#REF!</definedName>
    <definedName name="__123Graph_B出国者数" hidden="1">#REF!</definedName>
    <definedName name="__123Graph_B出国旅客" hidden="1">#REF!</definedName>
    <definedName name="__123Graph_B出入国者数" hidden="1">#REF!</definedName>
    <definedName name="__123Graph_B南アメリカ" hidden="1">#REF!</definedName>
    <definedName name="__123Graph_B入国者数" hidden="1">#REF!</definedName>
    <definedName name="__123Graph_B入国旅客" hidden="1">#REF!</definedName>
    <definedName name="__123Graph_B北アメリカ" hidden="1">#REF!</definedName>
    <definedName name="__123Graph_Cアジア1" hidden="1">#REF!</definedName>
    <definedName name="__123Graph_Cアジア2" hidden="1">#REF!</definedName>
    <definedName name="__123Graph_Cアフリカ" hidden="1">#REF!</definedName>
    <definedName name="__123Graph_Cオセアニア" hidden="1">#REF!</definedName>
    <definedName name="__123Graph_Cヨーロッパ1" hidden="1">#REF!</definedName>
    <definedName name="__123Graph_Cヨーロッパ2" hidden="1">#REF!</definedName>
    <definedName name="__123Graph_C南アメリカ" hidden="1">#REF!</definedName>
    <definedName name="__123Graph_C北アメリカ" hidden="1">#REF!</definedName>
    <definedName name="__123Graph_Dアジア1" hidden="1">#REF!</definedName>
    <definedName name="__123Graph_Dアジア2" hidden="1">#REF!</definedName>
    <definedName name="__123Graph_Dオセアニア" hidden="1">#REF!</definedName>
    <definedName name="__123Graph_Dヨーロッパ1" hidden="1">#REF!</definedName>
    <definedName name="__123Graph_Dヨーロッパ2" hidden="1">#REF!</definedName>
    <definedName name="__123Graph_D南アメリカ" hidden="1">#REF!</definedName>
    <definedName name="__123Graph_D北アメリカ" hidden="1">#REF!</definedName>
    <definedName name="__123Graph_Eアジア1" hidden="1">#REF!</definedName>
    <definedName name="__123Graph_Eアジア2" hidden="1">#REF!</definedName>
    <definedName name="__123Graph_Eヨーロッパ1" hidden="1">#REF!</definedName>
    <definedName name="__123Graph_Eヨーロッパ2" hidden="1">#REF!</definedName>
    <definedName name="__123Graph_E南アメリカ" hidden="1">#REF!</definedName>
    <definedName name="__123Graph_Fアジア1" hidden="1">#REF!</definedName>
    <definedName name="__123Graph_Fアジア2" hidden="1">#REF!</definedName>
    <definedName name="__123Graph_Fヨーロッパ1" hidden="1">#REF!</definedName>
    <definedName name="__123Graph_Fヨーロッパ2" hidden="1">#REF!</definedName>
    <definedName name="__123Graph_X00ｱｼﾞｱ･欧米" hidden="1">#REF!</definedName>
    <definedName name="__123Graph_X01積重ね" hidden="1">#REF!</definedName>
    <definedName name="__123Graph_Xアジア1" hidden="1">#REF!</definedName>
    <definedName name="__123Graph_Xアジア2" hidden="1">#REF!</definedName>
    <definedName name="__123Graph_Xアフリカ" hidden="1">#REF!</definedName>
    <definedName name="__123Graph_Xオセアニア" hidden="1">#REF!</definedName>
    <definedName name="__123Graph_Xヨーロッパ1" hidden="1">#REF!</definedName>
    <definedName name="__123Graph_Xヨーロッパ2" hidden="1">#REF!</definedName>
    <definedName name="__123Graph_X出国者数" hidden="1">#REF!</definedName>
    <definedName name="__123Graph_X出国旅客" hidden="1">#REF!</definedName>
    <definedName name="__123Graph_X出入国者数" hidden="1">#REF!</definedName>
    <definedName name="__123Graph_X南アメリカ" hidden="1">#REF!</definedName>
    <definedName name="__123Graph_X入国者数" hidden="1">#REF!</definedName>
    <definedName name="__123Graph_X入国旅客" hidden="1">#REF!</definedName>
    <definedName name="__123Graph_X北アメリカ" hidden="1">#REF!</definedName>
    <definedName name="_1__123Graph_A01積重_韓中香" hidden="1">#REF!</definedName>
    <definedName name="_10__123Graph_LBL_A02棒_東ｱｼﾞｱ" hidden="1">#REF!</definedName>
    <definedName name="_11__123Graph_X01積重_韓中香" hidden="1">#REF!</definedName>
    <definedName name="_12__123Graph_X02積重_韓中香" hidden="1">#REF!</definedName>
    <definedName name="_13__123Graph_X02棒_韓中香" hidden="1">#REF!</definedName>
    <definedName name="_14__123Graph_X02棒_東ｱｼﾞｱ" hidden="1">#REF!</definedName>
    <definedName name="_2__123Graph_A02積重_韓中香" hidden="1">#REF!</definedName>
    <definedName name="_3__123Graph_A02棒_韓中香" hidden="1">#REF!</definedName>
    <definedName name="_4__123Graph_A02棒_東ｱｼﾞｱ" hidden="1">#REF!</definedName>
    <definedName name="_5__123Graph_B01積重_韓中香" hidden="1">#REF!</definedName>
    <definedName name="_6__123Graph_B02積重_韓中香" hidden="1">#REF!</definedName>
    <definedName name="_7__123Graph_C02積重_韓中香" hidden="1">#REF!</definedName>
    <definedName name="_8__123Graph_LBL_A02積重_韓中香" hidden="1">#REF!</definedName>
    <definedName name="_9__123Graph_LBL_A02棒_韓中香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 a="1"/>
  <c r="A2" i="10" s="1"/>
  <c r="B16" i="5"/>
  <c r="A2" i="5"/>
  <c r="A256" i="4"/>
  <c r="A257" i="4"/>
  <c r="A258" i="4"/>
  <c r="A259" i="4"/>
  <c r="A260" i="4"/>
  <c r="A261" i="4"/>
  <c r="AE255" i="3" a="1"/>
  <c r="AE255" i="3" l="1"/>
  <c r="AE254" i="3" a="1"/>
  <c r="AE254" i="3" l="1"/>
  <c r="AE253" i="3" a="1"/>
  <c r="AE253" i="3" l="1"/>
  <c r="AE252" i="3" a="1"/>
  <c r="AE252" i="3" l="1"/>
  <c r="AE251" i="3" a="1"/>
  <c r="AE251" i="3" l="1"/>
  <c r="AE250" i="3" a="1"/>
  <c r="AE250" i="3" l="1"/>
  <c r="AE249" i="3" a="1"/>
  <c r="AE249" i="3" l="1"/>
  <c r="AE248" i="3" a="1"/>
  <c r="AE248" i="3" l="1"/>
  <c r="AE247" i="3" a="1"/>
  <c r="AE247" i="3" l="1"/>
  <c r="AE246" i="3" a="1"/>
  <c r="AE246" i="3" l="1"/>
  <c r="A16" i="5"/>
  <c r="D16" i="5" s="1"/>
  <c r="F16" i="5" a="1"/>
  <c r="F16" i="5" s="1"/>
  <c r="M16" i="5"/>
  <c r="F1" i="8" a="1"/>
  <c r="F1" i="8" s="1"/>
  <c r="F2" i="5" a="1"/>
  <c r="F2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8" i="5" a="1"/>
  <c r="F8" i="5" s="1"/>
  <c r="F9" i="5" a="1"/>
  <c r="F9" i="5" s="1"/>
  <c r="F10" i="5" a="1"/>
  <c r="F10" i="5" s="1"/>
  <c r="F11" i="5" a="1"/>
  <c r="F11" i="5" s="1"/>
  <c r="F12" i="5" a="1"/>
  <c r="F12" i="5" s="1"/>
  <c r="F13" i="5" a="1"/>
  <c r="F13" i="5" s="1"/>
  <c r="F14" i="5" a="1"/>
  <c r="F14" i="5" s="1"/>
  <c r="F15" i="5" a="1"/>
  <c r="F15" i="5" s="1"/>
  <c r="O5" i="1" a="1"/>
  <c r="O5" i="1" s="1"/>
  <c r="R5" i="1" s="1" a="1"/>
  <c r="R5" i="1" s="1"/>
  <c r="AE44" i="3" a="1"/>
  <c r="AE45" i="3" a="1"/>
  <c r="AE40" i="3" a="1"/>
  <c r="AE140" i="3" a="1"/>
  <c r="AE47" i="3" a="1"/>
  <c r="AE105" i="3" a="1"/>
  <c r="AE128" i="3" a="1"/>
  <c r="AE190" i="3" a="1"/>
  <c r="AE185" i="3" a="1"/>
  <c r="AE65" i="3" a="1"/>
  <c r="AE99" i="3" a="1"/>
  <c r="AE94" i="3" a="1"/>
  <c r="AE211" i="3" a="1"/>
  <c r="AE25" i="3" a="1"/>
  <c r="AE170" i="3" a="1"/>
  <c r="AE24" i="3" a="1"/>
  <c r="AE75" i="3" a="1"/>
  <c r="AE230" i="3" a="1"/>
  <c r="AE195" i="3" a="1"/>
  <c r="AE240" i="3" a="1"/>
  <c r="AE183" i="3" a="1"/>
  <c r="AE191" i="3" a="1"/>
  <c r="AE226" i="3" a="1"/>
  <c r="AE176" i="3" a="1"/>
  <c r="AE52" i="3" a="1"/>
  <c r="AE145" i="3" a="1"/>
  <c r="AE109" i="3" a="1"/>
  <c r="AE131" i="3" a="1"/>
  <c r="AE36" i="3" a="1"/>
  <c r="AE147" i="3" a="1"/>
  <c r="AE175" i="3" a="1"/>
  <c r="AE69" i="3" a="1"/>
  <c r="AE222" i="3" a="1"/>
  <c r="AE26" i="3" a="1"/>
  <c r="AE92" i="3" a="1"/>
  <c r="AE238" i="3" a="1"/>
  <c r="AE72" i="3" a="1"/>
  <c r="AE110" i="3" a="1"/>
  <c r="AE67" i="3" a="1"/>
  <c r="AE214" i="3" a="1"/>
  <c r="AE156" i="3" a="1"/>
  <c r="AE193" i="3" a="1"/>
  <c r="AE90" i="3" a="1"/>
  <c r="AE244" i="3" a="1"/>
  <c r="AE127" i="3" a="1"/>
  <c r="AE167" i="3" a="1"/>
  <c r="AE83" i="3" a="1"/>
  <c r="AE33" i="3" a="1"/>
  <c r="AE43" i="3" a="1"/>
  <c r="AE178" i="3" a="1"/>
  <c r="AE85" i="3" a="1"/>
  <c r="AE125" i="3" a="1"/>
  <c r="AE79" i="3" a="1"/>
  <c r="AE164" i="3" a="1"/>
  <c r="AE142" i="3" a="1"/>
  <c r="AE133" i="3" a="1"/>
  <c r="AE217" i="3" a="1"/>
  <c r="AE174" i="3" a="1"/>
  <c r="AE186" i="3" a="1"/>
  <c r="AE29" i="3" a="1"/>
  <c r="AE102" i="3" a="1"/>
  <c r="AE204" i="3" a="1"/>
  <c r="AE54" i="3" a="1"/>
  <c r="AE103" i="3" a="1"/>
  <c r="AE77" i="3" a="1"/>
  <c r="AE245" i="3" a="1"/>
  <c r="AE210" i="3" a="1"/>
  <c r="AE233" i="3" a="1"/>
  <c r="AE114" i="3" a="1"/>
  <c r="AE200" i="3" a="1"/>
  <c r="AE148" i="3" a="1"/>
  <c r="AE30" i="3" a="1"/>
  <c r="AE74" i="3" a="1"/>
  <c r="AE209" i="3" a="1"/>
  <c r="AE57" i="3" a="1"/>
  <c r="AE38" i="3" a="1"/>
  <c r="AE116" i="3" a="1"/>
  <c r="AE197" i="3" a="1"/>
  <c r="AE208" i="3" a="1"/>
  <c r="AE181" i="3" a="1"/>
  <c r="AE207" i="3" a="1"/>
  <c r="AE189" i="3" a="1"/>
  <c r="AE104" i="3" a="1"/>
  <c r="AE73" i="3" a="1"/>
  <c r="AE228" i="3" a="1"/>
  <c r="AE235" i="3" a="1"/>
  <c r="AE27" i="3" a="1"/>
  <c r="AE42" i="3" a="1"/>
  <c r="AE162" i="3" a="1"/>
  <c r="AE141" i="3" a="1"/>
  <c r="AE134" i="3" a="1"/>
  <c r="AE187" i="3" a="1"/>
  <c r="AE152" i="3" a="1"/>
  <c r="AE153" i="3" a="1"/>
  <c r="AE160" i="3" a="1"/>
  <c r="AE143" i="3" a="1"/>
  <c r="AE218" i="3" a="1"/>
  <c r="AE97" i="3" a="1"/>
  <c r="AE23" i="3" a="1"/>
  <c r="AE129" i="3" a="1"/>
  <c r="AE198" i="3" a="1"/>
  <c r="AE31" i="3" a="1"/>
  <c r="AE37" i="3" a="1"/>
  <c r="AE78" i="3" a="1"/>
  <c r="AE237" i="3" a="1"/>
  <c r="AE112" i="3" a="1"/>
  <c r="AE124" i="3" a="1"/>
  <c r="AE157" i="3" a="1"/>
  <c r="AE32" i="3" a="1"/>
  <c r="AE241" i="3" a="1"/>
  <c r="AE136" i="3" a="1"/>
  <c r="AE130" i="3" a="1"/>
  <c r="AE216" i="3" a="1"/>
  <c r="AE194" i="3" a="1"/>
  <c r="AE151" i="3" a="1"/>
  <c r="AE192" i="3" a="1"/>
  <c r="AE229" i="3" a="1"/>
  <c r="AE154" i="3" a="1"/>
  <c r="AE89" i="3" a="1"/>
  <c r="AE123" i="3" a="1"/>
  <c r="AE81" i="3" a="1"/>
  <c r="AE71" i="3" a="1"/>
  <c r="AE107" i="3" a="1"/>
  <c r="AE46" i="3" a="1"/>
  <c r="AE66" i="3" a="1"/>
  <c r="AE122" i="3" a="1"/>
  <c r="AE115" i="3" a="1"/>
  <c r="AE49" i="3" a="1"/>
  <c r="AE203" i="3" a="1"/>
  <c r="AE159" i="3" a="1"/>
  <c r="AE48" i="3" a="1"/>
  <c r="AE223" i="3" a="1"/>
  <c r="AE76" i="3" a="1"/>
  <c r="AE172" i="3" a="1"/>
  <c r="AE96" i="3" a="1"/>
  <c r="AE213" i="3" a="1"/>
  <c r="AE35" i="3" a="1"/>
  <c r="AE225" i="3" a="1"/>
  <c r="AE34" i="3" a="1"/>
  <c r="AE51" i="3" a="1"/>
  <c r="AE206" i="3" a="1"/>
  <c r="AE55" i="3" a="1"/>
  <c r="AE220" i="3" a="1"/>
  <c r="AE239" i="3" a="1"/>
  <c r="AE139" i="3" a="1"/>
  <c r="AE108" i="3" a="1"/>
  <c r="AE135" i="3" a="1"/>
  <c r="AE144" i="3" a="1"/>
  <c r="AE227" i="3" a="1"/>
  <c r="AE84" i="3" a="1"/>
  <c r="AE201" i="3" a="1"/>
  <c r="AE221" i="3" a="1"/>
  <c r="AE137" i="3" a="1"/>
  <c r="AE59" i="3" a="1"/>
  <c r="AE87" i="3" a="1"/>
  <c r="AE50" i="3" a="1"/>
  <c r="AE126" i="3" a="1"/>
  <c r="AE101" i="3" a="1"/>
  <c r="AE196" i="3" a="1"/>
  <c r="AE118" i="3" a="1"/>
  <c r="AE150" i="3" a="1"/>
  <c r="AE184" i="3" a="1"/>
  <c r="AE98" i="3" a="1"/>
  <c r="AE61" i="3" a="1"/>
  <c r="AE163" i="3" a="1"/>
  <c r="AE80" i="3" a="1"/>
  <c r="AE199" i="3" a="1"/>
  <c r="AE132" i="3" a="1"/>
  <c r="AE149" i="3" a="1"/>
  <c r="AE173" i="3" a="1"/>
  <c r="AE113" i="3" a="1"/>
  <c r="AE41" i="3" a="1"/>
  <c r="AE179" i="3" a="1"/>
  <c r="AE231" i="3" a="1"/>
  <c r="AE70" i="3" a="1"/>
  <c r="AE169" i="3" a="1"/>
  <c r="AE56" i="3" a="1"/>
  <c r="AE58" i="3" a="1"/>
  <c r="AE82" i="3" a="1"/>
  <c r="AE64" i="3" a="1"/>
  <c r="AE62" i="3" a="1"/>
  <c r="AE86" i="3" a="1"/>
  <c r="AE177" i="3" a="1"/>
  <c r="AE95" i="3" a="1"/>
  <c r="AE93" i="3" a="1"/>
  <c r="AE100" i="3" a="1"/>
  <c r="AE161" i="3" a="1"/>
  <c r="AE28" i="3" a="1"/>
  <c r="AE219" i="3" a="1"/>
  <c r="AE180" i="3" a="1"/>
  <c r="AE146" i="3" a="1"/>
  <c r="AE202" i="3" a="1"/>
  <c r="AE242" i="3" a="1"/>
  <c r="AE121" i="3" a="1"/>
  <c r="AE224" i="3" a="1"/>
  <c r="AE88" i="3" a="1"/>
  <c r="AE232" i="3" a="1"/>
  <c r="AE182" i="3" a="1"/>
  <c r="AE165" i="3" a="1"/>
  <c r="AE138" i="3" a="1"/>
  <c r="AE53" i="3" a="1"/>
  <c r="AE171" i="3" a="1"/>
  <c r="AE212" i="3" a="1"/>
  <c r="AE60" i="3" a="1"/>
  <c r="AE39" i="3" a="1"/>
  <c r="AE117" i="3" a="1"/>
  <c r="AE91" i="3" a="1"/>
  <c r="AE234" i="3" a="1"/>
  <c r="AE68" i="3" a="1"/>
  <c r="AE106" i="3" a="1"/>
  <c r="AE166" i="3" a="1"/>
  <c r="AE205" i="3" a="1"/>
  <c r="AE215" i="3" a="1"/>
  <c r="AE236" i="3" a="1"/>
  <c r="AE63" i="3" a="1"/>
  <c r="AE243" i="3" a="1"/>
  <c r="AE119" i="3" a="1"/>
  <c r="AE111" i="3" a="1"/>
  <c r="AE120" i="3" a="1"/>
  <c r="AE188" i="3" a="1"/>
  <c r="AE158" i="3" a="1"/>
  <c r="AE155" i="3" a="1"/>
  <c r="AE168" i="3" a="1"/>
  <c r="R16" i="5" l="1"/>
  <c r="O16" i="5"/>
  <c r="E16" i="5"/>
  <c r="AE175" i="3"/>
  <c r="AE68" i="3"/>
  <c r="AE164" i="3"/>
  <c r="AE69" i="3"/>
  <c r="AE129" i="3"/>
  <c r="AE141" i="3"/>
  <c r="AE153" i="3"/>
  <c r="AE165" i="3"/>
  <c r="AE177" i="3"/>
  <c r="AE189" i="3"/>
  <c r="AE201" i="3"/>
  <c r="AE213" i="3"/>
  <c r="AE225" i="3"/>
  <c r="AE237" i="3"/>
  <c r="AE31" i="3"/>
  <c r="AE103" i="3"/>
  <c r="AE211" i="3"/>
  <c r="AE104" i="3"/>
  <c r="AE224" i="3"/>
  <c r="AE118" i="3"/>
  <c r="AE166" i="3"/>
  <c r="AE178" i="3"/>
  <c r="AE190" i="3"/>
  <c r="AE202" i="3"/>
  <c r="AE214" i="3"/>
  <c r="AE226" i="3"/>
  <c r="AE238" i="3"/>
  <c r="AE163" i="3"/>
  <c r="AE115" i="3"/>
  <c r="AE199" i="3"/>
  <c r="AE92" i="3"/>
  <c r="AE212" i="3"/>
  <c r="AE105" i="3"/>
  <c r="AE46" i="3"/>
  <c r="AE94" i="3"/>
  <c r="AE47" i="3"/>
  <c r="AE107" i="3"/>
  <c r="AE167" i="3"/>
  <c r="AE203" i="3"/>
  <c r="AE36" i="3"/>
  <c r="AE96" i="3"/>
  <c r="AE108" i="3"/>
  <c r="AE120" i="3"/>
  <c r="AE132" i="3"/>
  <c r="AE144" i="3"/>
  <c r="AE156" i="3"/>
  <c r="AE168" i="3"/>
  <c r="AE180" i="3"/>
  <c r="AE192" i="3"/>
  <c r="AE204" i="3"/>
  <c r="AE216" i="3"/>
  <c r="AE228" i="3"/>
  <c r="AE240" i="3"/>
  <c r="AE25" i="3"/>
  <c r="AE37" i="3"/>
  <c r="AE49" i="3"/>
  <c r="AE61" i="3"/>
  <c r="AE73" i="3"/>
  <c r="AE85" i="3"/>
  <c r="AE97" i="3"/>
  <c r="AE109" i="3"/>
  <c r="AE121" i="3"/>
  <c r="AE133" i="3"/>
  <c r="AE145" i="3"/>
  <c r="AE157" i="3"/>
  <c r="AE169" i="3"/>
  <c r="AE181" i="3"/>
  <c r="AE193" i="3"/>
  <c r="AE205" i="3"/>
  <c r="AE217" i="3"/>
  <c r="AE229" i="3"/>
  <c r="AE241" i="3"/>
  <c r="AE128" i="3"/>
  <c r="AE55" i="3"/>
  <c r="AE127" i="3"/>
  <c r="AE187" i="3"/>
  <c r="AE56" i="3"/>
  <c r="AE140" i="3"/>
  <c r="AE176" i="3"/>
  <c r="AE33" i="3"/>
  <c r="AE93" i="3"/>
  <c r="AE58" i="3"/>
  <c r="AE106" i="3"/>
  <c r="AE35" i="3"/>
  <c r="AE95" i="3"/>
  <c r="AE155" i="3"/>
  <c r="AE215" i="3"/>
  <c r="AE72" i="3"/>
  <c r="AE50" i="3"/>
  <c r="AE98" i="3"/>
  <c r="AE122" i="3"/>
  <c r="AE146" i="3"/>
  <c r="AE158" i="3"/>
  <c r="AE170" i="3"/>
  <c r="AE182" i="3"/>
  <c r="AE194" i="3"/>
  <c r="AE206" i="3"/>
  <c r="AE218" i="3"/>
  <c r="AE230" i="3"/>
  <c r="AE242" i="3"/>
  <c r="AE27" i="3"/>
  <c r="AE39" i="3"/>
  <c r="AE51" i="3"/>
  <c r="AE63" i="3"/>
  <c r="AE75" i="3"/>
  <c r="AE87" i="3"/>
  <c r="AE99" i="3"/>
  <c r="AE111" i="3"/>
  <c r="AE123" i="3"/>
  <c r="AE135" i="3"/>
  <c r="AE147" i="3"/>
  <c r="AE159" i="3"/>
  <c r="AE171" i="3"/>
  <c r="AE183" i="3"/>
  <c r="AE195" i="3"/>
  <c r="AE207" i="3"/>
  <c r="AE219" i="3"/>
  <c r="AE231" i="3"/>
  <c r="AE243" i="3"/>
  <c r="AE43" i="3"/>
  <c r="AE79" i="3"/>
  <c r="AE151" i="3"/>
  <c r="AE32" i="3"/>
  <c r="AE152" i="3"/>
  <c r="AE236" i="3"/>
  <c r="AE81" i="3"/>
  <c r="AE70" i="3"/>
  <c r="AE142" i="3"/>
  <c r="AE71" i="3"/>
  <c r="AE131" i="3"/>
  <c r="AE239" i="3"/>
  <c r="AE48" i="3"/>
  <c r="AE26" i="3"/>
  <c r="AE74" i="3"/>
  <c r="AE100" i="3"/>
  <c r="AE244" i="3"/>
  <c r="AE91" i="3"/>
  <c r="AE223" i="3"/>
  <c r="AE80" i="3"/>
  <c r="AE200" i="3"/>
  <c r="AE45" i="3"/>
  <c r="AE34" i="3"/>
  <c r="AE154" i="3"/>
  <c r="AE113" i="3"/>
  <c r="AE173" i="3"/>
  <c r="AE245" i="3"/>
  <c r="AE67" i="3"/>
  <c r="AE139" i="3"/>
  <c r="AE235" i="3"/>
  <c r="AE44" i="3"/>
  <c r="AE116" i="3"/>
  <c r="AE188" i="3"/>
  <c r="AE57" i="3"/>
  <c r="AE117" i="3"/>
  <c r="AE82" i="3"/>
  <c r="AE130" i="3"/>
  <c r="AE23" i="3"/>
  <c r="AE59" i="3"/>
  <c r="AE83" i="3"/>
  <c r="AE119" i="3"/>
  <c r="AE143" i="3"/>
  <c r="AE179" i="3"/>
  <c r="AE191" i="3"/>
  <c r="AE227" i="3"/>
  <c r="AE24" i="3"/>
  <c r="AE60" i="3"/>
  <c r="AE84" i="3"/>
  <c r="AE38" i="3"/>
  <c r="AE62" i="3"/>
  <c r="AE86" i="3"/>
  <c r="AE110" i="3"/>
  <c r="AE134" i="3"/>
  <c r="AE28" i="3"/>
  <c r="AE40" i="3"/>
  <c r="AE52" i="3"/>
  <c r="AE64" i="3"/>
  <c r="AE76" i="3"/>
  <c r="AE88" i="3"/>
  <c r="AE112" i="3"/>
  <c r="AE124" i="3"/>
  <c r="AE136" i="3"/>
  <c r="AE148" i="3"/>
  <c r="AE160" i="3"/>
  <c r="AE172" i="3"/>
  <c r="AE184" i="3"/>
  <c r="AE196" i="3"/>
  <c r="AE208" i="3"/>
  <c r="AE220" i="3"/>
  <c r="AE232" i="3"/>
  <c r="AE29" i="3"/>
  <c r="AE41" i="3"/>
  <c r="AE53" i="3"/>
  <c r="AE65" i="3"/>
  <c r="AE77" i="3"/>
  <c r="AE89" i="3"/>
  <c r="AE101" i="3"/>
  <c r="AE125" i="3"/>
  <c r="AE137" i="3"/>
  <c r="AE149" i="3"/>
  <c r="AE161" i="3"/>
  <c r="AE185" i="3"/>
  <c r="AE197" i="3"/>
  <c r="AE209" i="3"/>
  <c r="AE221" i="3"/>
  <c r="AE233" i="3"/>
  <c r="AE30" i="3"/>
  <c r="AE42" i="3"/>
  <c r="AE54" i="3"/>
  <c r="AE66" i="3"/>
  <c r="AE78" i="3"/>
  <c r="AE90" i="3"/>
  <c r="AE102" i="3"/>
  <c r="AE114" i="3"/>
  <c r="AE126" i="3"/>
  <c r="AE138" i="3"/>
  <c r="AE150" i="3"/>
  <c r="AE162" i="3"/>
  <c r="AE174" i="3"/>
  <c r="AE186" i="3"/>
  <c r="AE198" i="3"/>
  <c r="AE210" i="3"/>
  <c r="AE222" i="3"/>
  <c r="AE234" i="3"/>
  <c r="U5" i="1" a="1"/>
  <c r="U5" i="1" s="1"/>
  <c r="V5" i="1" a="1"/>
  <c r="V5" i="1" s="1"/>
  <c r="A3" i="5" l="1"/>
  <c r="A4" i="5"/>
  <c r="A5" i="5"/>
  <c r="A6" i="5"/>
  <c r="A7" i="5"/>
  <c r="A8" i="5"/>
  <c r="A9" i="5"/>
  <c r="A10" i="5"/>
  <c r="A11" i="5"/>
  <c r="A12" i="5"/>
  <c r="A13" i="5"/>
  <c r="A14" i="5"/>
  <c r="E14" i="5" s="1"/>
  <c r="A15" i="5"/>
  <c r="D15" i="5" s="1"/>
  <c r="P2" i="5"/>
  <c r="P3" i="5"/>
  <c r="P5" i="5"/>
  <c r="P8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B15" i="5"/>
  <c r="B14" i="5"/>
  <c r="K5" i="1" a="1"/>
  <c r="AK2" i="2" a="1"/>
  <c r="AI2" i="2" a="1"/>
  <c r="AL2" i="2" a="1"/>
  <c r="AM2" i="2" a="1"/>
  <c r="AH2" i="2" a="1"/>
  <c r="AG2" i="2" a="1"/>
  <c r="AJ2" i="2" a="1"/>
  <c r="AF2" i="2" a="1"/>
  <c r="D14" i="5" l="1"/>
  <c r="AG2" i="2"/>
  <c r="AL2" i="2"/>
  <c r="AF2" i="2"/>
  <c r="AK2" i="2"/>
  <c r="AJ2" i="2"/>
  <c r="AI2" i="2"/>
  <c r="AH2" i="2"/>
  <c r="AM2" i="2"/>
  <c r="K5" i="1"/>
  <c r="L5" i="1" s="1" a="1"/>
  <c r="R15" i="5"/>
  <c r="O15" i="5"/>
  <c r="E15" i="5"/>
  <c r="R14" i="5"/>
  <c r="O14" i="5"/>
  <c r="BK3" i="5"/>
  <c r="BK4" i="5" s="1"/>
  <c r="BK5" i="5" s="1"/>
  <c r="BK6" i="5" s="1"/>
  <c r="BK7" i="5" s="1"/>
  <c r="BK8" i="5" s="1"/>
  <c r="BK9" i="5" s="1"/>
  <c r="BK10" i="5" s="1"/>
  <c r="BK11" i="5" s="1"/>
  <c r="BK12" i="5" s="1"/>
  <c r="BK13" i="5" s="1"/>
  <c r="BK14" i="5" s="1"/>
  <c r="BK15" i="5" s="1"/>
  <c r="BK16" i="5" s="1"/>
  <c r="BK17" i="5" s="1"/>
  <c r="BK18" i="5" s="1"/>
  <c r="BK19" i="5" s="1"/>
  <c r="BK20" i="5" s="1"/>
  <c r="BK21" i="5" s="1"/>
  <c r="BK22" i="5" s="1"/>
  <c r="BK23" i="5" s="1"/>
  <c r="BK24" i="5" s="1"/>
  <c r="BK25" i="5" s="1"/>
  <c r="BK26" i="5" s="1"/>
  <c r="BK27" i="5" s="1"/>
  <c r="BK28" i="5" s="1"/>
  <c r="BK29" i="5" s="1"/>
  <c r="BK30" i="5" s="1"/>
  <c r="BK31" i="5" s="1"/>
  <c r="BK32" i="5" s="1"/>
  <c r="BK33" i="5" s="1"/>
  <c r="BK34" i="5" s="1"/>
  <c r="BK35" i="5" s="1"/>
  <c r="BK36" i="5" s="1"/>
  <c r="BK37" i="5" s="1"/>
  <c r="BK38" i="5" s="1"/>
  <c r="BK39" i="5" s="1"/>
  <c r="BK40" i="5" s="1"/>
  <c r="BK41" i="5" s="1"/>
  <c r="BK42" i="5" s="1"/>
  <c r="BK43" i="5" s="1"/>
  <c r="BK44" i="5" s="1"/>
  <c r="BK45" i="5" s="1"/>
  <c r="BK46" i="5" s="1"/>
  <c r="BK47" i="5" s="1"/>
  <c r="BK48" i="5" s="1"/>
  <c r="BK49" i="5" s="1"/>
  <c r="BK50" i="5" s="1"/>
  <c r="BK51" i="5" s="1"/>
  <c r="BK52" i="5" s="1"/>
  <c r="BK53" i="5" s="1"/>
  <c r="BK54" i="5" s="1"/>
  <c r="BK55" i="5" s="1"/>
  <c r="BK56" i="5" s="1"/>
  <c r="BK57" i="5" s="1"/>
  <c r="BK58" i="5" s="1"/>
  <c r="BK59" i="5" s="1"/>
  <c r="BK60" i="5" s="1"/>
  <c r="BK61" i="5" s="1"/>
  <c r="BK62" i="5" s="1"/>
  <c r="BK63" i="5" s="1"/>
  <c r="BK64" i="5" s="1"/>
  <c r="BK65" i="5" s="1"/>
  <c r="BK66" i="5" s="1"/>
  <c r="BK67" i="5" s="1"/>
  <c r="BK68" i="5" s="1"/>
  <c r="BK69" i="5" s="1"/>
  <c r="BK70" i="5" s="1"/>
  <c r="BK71" i="5" s="1"/>
  <c r="BK72" i="5" s="1"/>
  <c r="BK73" i="5" s="1"/>
  <c r="BK74" i="5" s="1"/>
  <c r="BK75" i="5" s="1"/>
  <c r="BK76" i="5" s="1"/>
  <c r="BK77" i="5" s="1"/>
  <c r="BK78" i="5" s="1"/>
  <c r="BK79" i="5" s="1"/>
  <c r="BK80" i="5" s="1"/>
  <c r="BK81" i="5" s="1"/>
  <c r="BK82" i="5" s="1"/>
  <c r="BK83" i="5" s="1"/>
  <c r="BK84" i="5" s="1"/>
  <c r="BK85" i="5" s="1"/>
  <c r="BK86" i="5" s="1"/>
  <c r="BK87" i="5" s="1"/>
  <c r="BK88" i="5" s="1"/>
  <c r="BK89" i="5" s="1"/>
  <c r="BK90" i="5" s="1"/>
  <c r="BK91" i="5" s="1"/>
  <c r="BK92" i="5" s="1"/>
  <c r="BK93" i="5" s="1"/>
  <c r="BK94" i="5" s="1"/>
  <c r="BK95" i="5" s="1"/>
  <c r="BK96" i="5" s="1"/>
  <c r="BK97" i="5" s="1"/>
  <c r="BK98" i="5" s="1"/>
  <c r="BK99" i="5" s="1"/>
  <c r="BK100" i="5" s="1"/>
  <c r="BK101" i="5" s="1"/>
  <c r="BK102" i="5" s="1"/>
  <c r="BK103" i="5" s="1"/>
  <c r="BK104" i="5" s="1"/>
  <c r="BK105" i="5" s="1"/>
  <c r="BK106" i="5" s="1"/>
  <c r="BK107" i="5" s="1"/>
  <c r="BK108" i="5" s="1"/>
  <c r="BK109" i="5" s="1"/>
  <c r="BK110" i="5" s="1"/>
  <c r="BK111" i="5" s="1"/>
  <c r="BK112" i="5" s="1"/>
  <c r="BK113" i="5" s="1"/>
  <c r="BK114" i="5" s="1"/>
  <c r="BK115" i="5" s="1"/>
  <c r="BK116" i="5" s="1"/>
  <c r="BK117" i="5" s="1"/>
  <c r="BK118" i="5" s="1"/>
  <c r="BK119" i="5" s="1"/>
  <c r="BK120" i="5" s="1"/>
  <c r="BK121" i="5" s="1"/>
  <c r="BK122" i="5" s="1"/>
  <c r="BK123" i="5" s="1"/>
  <c r="BK124" i="5" s="1"/>
  <c r="BK125" i="5" s="1"/>
  <c r="BK126" i="5" s="1"/>
  <c r="BK127" i="5" s="1"/>
  <c r="BK128" i="5" s="1"/>
  <c r="BK129" i="5" s="1"/>
  <c r="BK130" i="5" s="1"/>
  <c r="BK131" i="5" s="1"/>
  <c r="BK132" i="5" s="1"/>
  <c r="BK133" i="5" s="1"/>
  <c r="BL86" i="5"/>
  <c r="BL87" i="5"/>
  <c r="BL88" i="5"/>
  <c r="BL89" i="5"/>
  <c r="BM89" i="5" s="1"/>
  <c r="BN89" i="5" s="1" a="1"/>
  <c r="BN89" i="5" s="1"/>
  <c r="BL90" i="5"/>
  <c r="BM90" i="5" s="1"/>
  <c r="BN90" i="5" s="1" a="1"/>
  <c r="BN90" i="5" s="1"/>
  <c r="BL91" i="5"/>
  <c r="BM91" i="5" s="1"/>
  <c r="BL92" i="5"/>
  <c r="BM92" i="5" s="1"/>
  <c r="BL93" i="5"/>
  <c r="BM93" i="5" s="1"/>
  <c r="BN93" i="5" s="1" a="1"/>
  <c r="BN93" i="5" s="1"/>
  <c r="BL94" i="5"/>
  <c r="BM94" i="5" s="1"/>
  <c r="BL95" i="5"/>
  <c r="BM95" i="5" s="1"/>
  <c r="BN95" i="5" s="1" a="1"/>
  <c r="BN95" i="5" s="1"/>
  <c r="BL96" i="5"/>
  <c r="BM96" i="5" s="1"/>
  <c r="BL97" i="5"/>
  <c r="BM97" i="5" s="1"/>
  <c r="BN97" i="5" s="1" a="1"/>
  <c r="BN97" i="5" s="1"/>
  <c r="BL98" i="5"/>
  <c r="BM98" i="5" s="1"/>
  <c r="BN98" i="5" s="1" a="1"/>
  <c r="BN98" i="5" s="1"/>
  <c r="BL99" i="5"/>
  <c r="BM99" i="5" s="1"/>
  <c r="BO99" i="5" s="1" a="1"/>
  <c r="BO99" i="5" s="1"/>
  <c r="BL100" i="5"/>
  <c r="BM100" i="5" s="1"/>
  <c r="BN100" i="5" s="1" a="1"/>
  <c r="BN100" i="5" s="1"/>
  <c r="BL101" i="5"/>
  <c r="BM101" i="5" s="1"/>
  <c r="BO101" i="5" s="1" a="1"/>
  <c r="BO101" i="5" s="1"/>
  <c r="BL102" i="5"/>
  <c r="BM102" i="5" s="1"/>
  <c r="BO102" i="5" s="1" a="1"/>
  <c r="BO102" i="5" s="1"/>
  <c r="BL103" i="5"/>
  <c r="BM103" i="5" s="1"/>
  <c r="BL104" i="5"/>
  <c r="BM104" i="5" s="1"/>
  <c r="BO104" i="5" s="1" a="1"/>
  <c r="BO104" i="5" s="1"/>
  <c r="BL105" i="5"/>
  <c r="BM105" i="5" s="1"/>
  <c r="BL106" i="5"/>
  <c r="BM106" i="5" s="1"/>
  <c r="BN106" i="5" s="1" a="1"/>
  <c r="BN106" i="5" s="1"/>
  <c r="BL107" i="5"/>
  <c r="BM107" i="5" s="1"/>
  <c r="BL108" i="5"/>
  <c r="BM108" i="5" s="1"/>
  <c r="BL109" i="5"/>
  <c r="BM109" i="5" s="1"/>
  <c r="BN109" i="5" s="1" a="1"/>
  <c r="BN109" i="5" s="1"/>
  <c r="BL110" i="5"/>
  <c r="BM110" i="5" s="1"/>
  <c r="BL111" i="5"/>
  <c r="BM111" i="5" s="1"/>
  <c r="BO111" i="5" s="1" a="1"/>
  <c r="BO111" i="5" s="1"/>
  <c r="BL112" i="5"/>
  <c r="BM112" i="5" s="1"/>
  <c r="BN112" i="5" s="1" a="1"/>
  <c r="BN112" i="5" s="1"/>
  <c r="BL113" i="5"/>
  <c r="BM113" i="5" s="1"/>
  <c r="BN113" i="5" s="1" a="1"/>
  <c r="BN113" i="5" s="1"/>
  <c r="BL114" i="5"/>
  <c r="BM114" i="5" s="1"/>
  <c r="BO114" i="5" s="1" a="1"/>
  <c r="BO114" i="5" s="1"/>
  <c r="BL115" i="5"/>
  <c r="BM115" i="5" s="1"/>
  <c r="BL116" i="5"/>
  <c r="BM116" i="5" s="1"/>
  <c r="BN116" i="5" s="1" a="1"/>
  <c r="BN116" i="5" s="1"/>
  <c r="BL117" i="5"/>
  <c r="BM117" i="5" s="1"/>
  <c r="BN117" i="5" s="1" a="1"/>
  <c r="BN117" i="5" s="1"/>
  <c r="BL118" i="5"/>
  <c r="BM118" i="5" s="1"/>
  <c r="BN118" i="5" s="1" a="1"/>
  <c r="BN118" i="5" s="1"/>
  <c r="BL119" i="5"/>
  <c r="BM119" i="5" s="1"/>
  <c r="BN119" i="5" s="1" a="1"/>
  <c r="BN119" i="5" s="1"/>
  <c r="BL120" i="5"/>
  <c r="BM120" i="5" s="1"/>
  <c r="BL121" i="5"/>
  <c r="BM121" i="5" s="1"/>
  <c r="BN121" i="5" s="1" a="1"/>
  <c r="BN121" i="5" s="1"/>
  <c r="BL122" i="5"/>
  <c r="BM122" i="5" s="1"/>
  <c r="BO122" i="5" s="1" a="1"/>
  <c r="BO122" i="5" s="1"/>
  <c r="BL123" i="5"/>
  <c r="BM123" i="5" s="1"/>
  <c r="BN123" i="5" s="1" a="1"/>
  <c r="BN123" i="5" s="1"/>
  <c r="BL124" i="5"/>
  <c r="BM124" i="5" s="1"/>
  <c r="BN124" i="5" s="1" a="1"/>
  <c r="BN124" i="5" s="1"/>
  <c r="BL125" i="5"/>
  <c r="BM125" i="5" s="1"/>
  <c r="BL126" i="5"/>
  <c r="BM126" i="5" s="1"/>
  <c r="BN126" i="5" s="1" a="1"/>
  <c r="BN126" i="5" s="1"/>
  <c r="BL127" i="5"/>
  <c r="BM127" i="5" s="1"/>
  <c r="BL128" i="5"/>
  <c r="BM128" i="5" s="1"/>
  <c r="BN128" i="5" s="1" a="1"/>
  <c r="BN128" i="5" s="1"/>
  <c r="BL129" i="5"/>
  <c r="BM129" i="5" s="1"/>
  <c r="BL130" i="5"/>
  <c r="BM130" i="5" s="1"/>
  <c r="BN130" i="5" s="1" a="1"/>
  <c r="BN130" i="5" s="1"/>
  <c r="BL131" i="5"/>
  <c r="BM131" i="5" s="1"/>
  <c r="BN131" i="5" s="1" a="1"/>
  <c r="BN131" i="5" s="1"/>
  <c r="BL132" i="5"/>
  <c r="BM132" i="5" s="1"/>
  <c r="BO132" i="5" s="1" a="1"/>
  <c r="BO132" i="5" s="1"/>
  <c r="BL133" i="5"/>
  <c r="BM133" i="5" s="1"/>
  <c r="BN133" i="5" s="1" a="1"/>
  <c r="BN133" i="5" s="1"/>
  <c r="BM86" i="5"/>
  <c r="BO86" i="5" s="1" a="1"/>
  <c r="BO86" i="5" s="1"/>
  <c r="BM87" i="5"/>
  <c r="BN87" i="5" s="1" a="1"/>
  <c r="BN87" i="5" s="1"/>
  <c r="BM88" i="5"/>
  <c r="BO88" i="5" s="1" a="1"/>
  <c r="BO88" i="5" s="1"/>
  <c r="BQ86" i="5"/>
  <c r="BR86" i="5" s="1"/>
  <c r="BQ87" i="5"/>
  <c r="BR87" i="5" s="1"/>
  <c r="BQ88" i="5"/>
  <c r="BR88" i="5" s="1"/>
  <c r="BQ89" i="5"/>
  <c r="BR89" i="5" s="1"/>
  <c r="BQ90" i="5"/>
  <c r="BR90" i="5" s="1"/>
  <c r="BQ91" i="5"/>
  <c r="BR91" i="5" s="1"/>
  <c r="BQ92" i="5"/>
  <c r="BR92" i="5" s="1"/>
  <c r="BQ93" i="5"/>
  <c r="BR93" i="5" s="1"/>
  <c r="BQ94" i="5"/>
  <c r="BR94" i="5" s="1"/>
  <c r="BQ95" i="5"/>
  <c r="BR95" i="5" s="1"/>
  <c r="BQ96" i="5"/>
  <c r="BR96" i="5" s="1"/>
  <c r="BQ97" i="5"/>
  <c r="BR97" i="5" s="1"/>
  <c r="BQ98" i="5"/>
  <c r="BR98" i="5" s="1"/>
  <c r="BQ99" i="5"/>
  <c r="BR99" i="5" s="1"/>
  <c r="BS99" i="5" s="1" a="1"/>
  <c r="BS99" i="5" s="1"/>
  <c r="BQ100" i="5"/>
  <c r="BR100" i="5" s="1"/>
  <c r="BQ101" i="5"/>
  <c r="BR101" i="5" s="1"/>
  <c r="BQ102" i="5"/>
  <c r="BR102" i="5" s="1"/>
  <c r="BQ103" i="5"/>
  <c r="BR103" i="5" s="1"/>
  <c r="BQ104" i="5"/>
  <c r="BR104" i="5" s="1"/>
  <c r="BQ105" i="5"/>
  <c r="BR105" i="5" s="1"/>
  <c r="BS105" i="5" s="1" a="1"/>
  <c r="BS105" i="5" s="1"/>
  <c r="BQ106" i="5"/>
  <c r="BR106" i="5" s="1"/>
  <c r="BS106" i="5" s="1" a="1"/>
  <c r="BS106" i="5" s="1"/>
  <c r="BQ107" i="5"/>
  <c r="BR107" i="5" s="1"/>
  <c r="BS107" i="5" s="1" a="1"/>
  <c r="BS107" i="5" s="1"/>
  <c r="BQ108" i="5"/>
  <c r="BR108" i="5" s="1"/>
  <c r="BS108" i="5" s="1" a="1"/>
  <c r="BS108" i="5" s="1"/>
  <c r="BQ109" i="5"/>
  <c r="BR109" i="5" s="1"/>
  <c r="BT109" i="5" s="1" a="1"/>
  <c r="BT109" i="5" s="1"/>
  <c r="BQ110" i="5"/>
  <c r="BR110" i="5" s="1"/>
  <c r="BS110" i="5" s="1" a="1"/>
  <c r="BS110" i="5" s="1"/>
  <c r="BQ111" i="5"/>
  <c r="BR111" i="5" s="1"/>
  <c r="BS111" i="5" s="1" a="1"/>
  <c r="BS111" i="5" s="1"/>
  <c r="BQ112" i="5"/>
  <c r="BR112" i="5" s="1"/>
  <c r="BQ113" i="5"/>
  <c r="BR113" i="5" s="1"/>
  <c r="BQ114" i="5"/>
  <c r="BR114" i="5" s="1"/>
  <c r="BT114" i="5" s="1" a="1"/>
  <c r="BT114" i="5" s="1"/>
  <c r="BQ115" i="5"/>
  <c r="BR115" i="5" s="1"/>
  <c r="BQ116" i="5"/>
  <c r="BR116" i="5" s="1"/>
  <c r="BQ117" i="5"/>
  <c r="BR117" i="5" s="1"/>
  <c r="BS117" i="5" s="1" a="1"/>
  <c r="BS117" i="5" s="1"/>
  <c r="BQ118" i="5"/>
  <c r="BR118" i="5" s="1"/>
  <c r="BS118" i="5" s="1" a="1"/>
  <c r="BS118" i="5" s="1"/>
  <c r="BQ119" i="5"/>
  <c r="BR119" i="5" s="1"/>
  <c r="BQ120" i="5"/>
  <c r="BR120" i="5" s="1"/>
  <c r="BQ121" i="5"/>
  <c r="BR121" i="5" s="1"/>
  <c r="BS121" i="5" s="1" a="1"/>
  <c r="BS121" i="5" s="1"/>
  <c r="BQ122" i="5"/>
  <c r="BR122" i="5" s="1"/>
  <c r="BT122" i="5" s="1" a="1"/>
  <c r="BT122" i="5" s="1"/>
  <c r="BQ123" i="5"/>
  <c r="BR123" i="5" s="1"/>
  <c r="BS123" i="5" s="1" a="1"/>
  <c r="BS123" i="5" s="1"/>
  <c r="BQ124" i="5"/>
  <c r="BR124" i="5" s="1"/>
  <c r="BS124" i="5" s="1" a="1"/>
  <c r="BS124" i="5" s="1"/>
  <c r="BQ125" i="5"/>
  <c r="BR125" i="5" s="1"/>
  <c r="BS125" i="5" s="1" a="1"/>
  <c r="BS125" i="5" s="1"/>
  <c r="BQ126" i="5"/>
  <c r="BR126" i="5" s="1"/>
  <c r="BS126" i="5" s="1" a="1"/>
  <c r="BS126" i="5" s="1"/>
  <c r="BQ127" i="5"/>
  <c r="BR127" i="5" s="1"/>
  <c r="BQ128" i="5"/>
  <c r="BR128" i="5" s="1"/>
  <c r="BQ129" i="5"/>
  <c r="BR129" i="5" s="1"/>
  <c r="BS129" i="5" s="1" a="1"/>
  <c r="BS129" i="5" s="1"/>
  <c r="BQ130" i="5"/>
  <c r="BR130" i="5" s="1"/>
  <c r="BT130" i="5" s="1" a="1"/>
  <c r="BT130" i="5" s="1"/>
  <c r="BQ131" i="5"/>
  <c r="BR131" i="5" s="1"/>
  <c r="BQ132" i="5"/>
  <c r="BR132" i="5" s="1"/>
  <c r="BS132" i="5" s="1" a="1"/>
  <c r="BS132" i="5" s="1"/>
  <c r="BQ133" i="5"/>
  <c r="BR133" i="5" s="1"/>
  <c r="BS133" i="5" s="1" a="1"/>
  <c r="BS133" i="5" s="1"/>
  <c r="BL78" i="5"/>
  <c r="BM78" i="5" s="1"/>
  <c r="BO78" i="5" s="1" a="1"/>
  <c r="BO78" i="5" s="1"/>
  <c r="BL79" i="5"/>
  <c r="BM79" i="5" s="1"/>
  <c r="BL80" i="5"/>
  <c r="BM80" i="5" s="1"/>
  <c r="BL81" i="5"/>
  <c r="BM81" i="5" s="1"/>
  <c r="BL82" i="5"/>
  <c r="BM82" i="5" s="1"/>
  <c r="BL83" i="5"/>
  <c r="BM83" i="5" s="1"/>
  <c r="BL84" i="5"/>
  <c r="BM84" i="5" s="1"/>
  <c r="BL85" i="5"/>
  <c r="BM85" i="5" s="1"/>
  <c r="BQ78" i="5"/>
  <c r="BR78" i="5" s="1"/>
  <c r="BT78" i="5" s="1" a="1"/>
  <c r="BT78" i="5" s="1"/>
  <c r="BQ79" i="5"/>
  <c r="BR79" i="5" s="1"/>
  <c r="BS79" i="5" s="1" a="1"/>
  <c r="BS79" i="5" s="1"/>
  <c r="BQ80" i="5"/>
  <c r="BR80" i="5" s="1"/>
  <c r="BT80" i="5" s="1" a="1"/>
  <c r="BT80" i="5" s="1"/>
  <c r="BQ81" i="5"/>
  <c r="BR81" i="5" s="1"/>
  <c r="BT81" i="5" s="1" a="1"/>
  <c r="BT81" i="5" s="1"/>
  <c r="BQ82" i="5"/>
  <c r="BR82" i="5" s="1"/>
  <c r="BS82" i="5" s="1" a="1"/>
  <c r="BS82" i="5" s="1"/>
  <c r="BQ83" i="5"/>
  <c r="BR83" i="5" s="1"/>
  <c r="BS83" i="5" s="1" a="1"/>
  <c r="BS83" i="5" s="1"/>
  <c r="BQ84" i="5"/>
  <c r="BR84" i="5" s="1"/>
  <c r="BQ85" i="5"/>
  <c r="BR85" i="5" s="1"/>
  <c r="B2" i="5"/>
  <c r="B3" i="5"/>
  <c r="B4" i="5"/>
  <c r="B5" i="5"/>
  <c r="B6" i="5"/>
  <c r="B7" i="5"/>
  <c r="B8" i="5"/>
  <c r="B9" i="5"/>
  <c r="B10" i="5"/>
  <c r="B11" i="5"/>
  <c r="B12" i="5"/>
  <c r="B13" i="5"/>
  <c r="BQ2" i="5"/>
  <c r="BR2" i="5" s="1"/>
  <c r="BQ3" i="5"/>
  <c r="BR3" i="5" s="1"/>
  <c r="BQ4" i="5"/>
  <c r="BR4" i="5" s="1"/>
  <c r="BS4" i="5" s="1" a="1"/>
  <c r="BS4" i="5" s="1"/>
  <c r="BQ5" i="5"/>
  <c r="BR5" i="5" s="1"/>
  <c r="BS5" i="5" s="1" a="1"/>
  <c r="BS5" i="5" s="1"/>
  <c r="BQ6" i="5"/>
  <c r="BR6" i="5" s="1"/>
  <c r="BS6" i="5" s="1" a="1"/>
  <c r="BS6" i="5" s="1"/>
  <c r="BQ7" i="5"/>
  <c r="BR7" i="5" s="1"/>
  <c r="BS7" i="5" s="1" a="1"/>
  <c r="BS7" i="5" s="1"/>
  <c r="BQ8" i="5"/>
  <c r="BR8" i="5" s="1"/>
  <c r="BT8" i="5" s="1" a="1"/>
  <c r="BT8" i="5" s="1"/>
  <c r="BQ9" i="5"/>
  <c r="BR9" i="5" s="1"/>
  <c r="BT9" i="5" s="1" a="1"/>
  <c r="BT9" i="5" s="1"/>
  <c r="BQ10" i="5"/>
  <c r="BR10" i="5" s="1"/>
  <c r="BT10" i="5" s="1" a="1"/>
  <c r="BT10" i="5" s="1"/>
  <c r="BQ11" i="5"/>
  <c r="BR11" i="5" s="1"/>
  <c r="BT11" i="5" s="1" a="1"/>
  <c r="BT11" i="5" s="1"/>
  <c r="BQ12" i="5"/>
  <c r="BR12" i="5" s="1"/>
  <c r="BQ13" i="5"/>
  <c r="BR13" i="5" s="1"/>
  <c r="BQ14" i="5"/>
  <c r="BR14" i="5" s="1"/>
  <c r="BQ15" i="5"/>
  <c r="BR15" i="5" s="1"/>
  <c r="BQ16" i="5"/>
  <c r="BR16" i="5" s="1"/>
  <c r="BS16" i="5" s="1" a="1"/>
  <c r="BS16" i="5" s="1"/>
  <c r="BQ17" i="5"/>
  <c r="BR17" i="5" s="1"/>
  <c r="BS17" i="5" s="1" a="1"/>
  <c r="BS17" i="5" s="1"/>
  <c r="BQ18" i="5"/>
  <c r="BR18" i="5" s="1"/>
  <c r="BS18" i="5" s="1" a="1"/>
  <c r="BS18" i="5" s="1"/>
  <c r="BQ19" i="5"/>
  <c r="BR19" i="5" s="1"/>
  <c r="BS19" i="5" s="1" a="1"/>
  <c r="BS19" i="5" s="1"/>
  <c r="BQ20" i="5"/>
  <c r="BR20" i="5" s="1"/>
  <c r="BT20" i="5" s="1" a="1"/>
  <c r="BT20" i="5" s="1"/>
  <c r="BQ21" i="5"/>
  <c r="BR21" i="5" s="1"/>
  <c r="BT21" i="5" s="1" a="1"/>
  <c r="BT21" i="5" s="1"/>
  <c r="BQ22" i="5"/>
  <c r="BR22" i="5" s="1"/>
  <c r="BQ23" i="5"/>
  <c r="BR23" i="5" s="1"/>
  <c r="BT23" i="5" s="1" a="1"/>
  <c r="BT23" i="5" s="1"/>
  <c r="BQ24" i="5"/>
  <c r="BR24" i="5" s="1"/>
  <c r="BS24" i="5" s="1" a="1"/>
  <c r="BS24" i="5" s="1"/>
  <c r="BQ25" i="5"/>
  <c r="BR25" i="5" s="1"/>
  <c r="BS25" i="5" s="1" a="1"/>
  <c r="BS25" i="5" s="1"/>
  <c r="BQ26" i="5"/>
  <c r="BR26" i="5" s="1"/>
  <c r="BQ27" i="5"/>
  <c r="BR27" i="5" s="1"/>
  <c r="BQ28" i="5"/>
  <c r="BR28" i="5" s="1"/>
  <c r="BQ29" i="5"/>
  <c r="BR29" i="5" s="1"/>
  <c r="BQ30" i="5"/>
  <c r="BR30" i="5" s="1"/>
  <c r="BS30" i="5" s="1" a="1"/>
  <c r="BS30" i="5" s="1"/>
  <c r="BQ31" i="5"/>
  <c r="BR31" i="5" s="1"/>
  <c r="BS31" i="5" s="1" a="1"/>
  <c r="BS31" i="5" s="1"/>
  <c r="BQ32" i="5"/>
  <c r="BR32" i="5" s="1"/>
  <c r="BT32" i="5" s="1" a="1"/>
  <c r="BT32" i="5" s="1"/>
  <c r="BQ33" i="5"/>
  <c r="BR33" i="5" s="1"/>
  <c r="BT33" i="5" s="1" a="1"/>
  <c r="BT33" i="5" s="1"/>
  <c r="BQ34" i="5"/>
  <c r="BR34" i="5" s="1"/>
  <c r="BT34" i="5" s="1" a="1"/>
  <c r="BT34" i="5" s="1"/>
  <c r="BQ35" i="5"/>
  <c r="BR35" i="5" s="1"/>
  <c r="BT35" i="5" s="1" a="1"/>
  <c r="BT35" i="5" s="1"/>
  <c r="BQ36" i="5"/>
  <c r="BR36" i="5" s="1"/>
  <c r="BT36" i="5" s="1" a="1"/>
  <c r="BT36" i="5" s="1"/>
  <c r="BQ37" i="5"/>
  <c r="BR37" i="5" s="1"/>
  <c r="BS37" i="5" s="1" a="1"/>
  <c r="BS37" i="5" s="1"/>
  <c r="BQ38" i="5"/>
  <c r="BR38" i="5" s="1"/>
  <c r="BQ39" i="5"/>
  <c r="BR39" i="5" s="1"/>
  <c r="BQ40" i="5"/>
  <c r="BR40" i="5" s="1"/>
  <c r="BQ41" i="5"/>
  <c r="BR41" i="5" s="1"/>
  <c r="BQ42" i="5"/>
  <c r="BR42" i="5" s="1"/>
  <c r="BS42" i="5" s="1" a="1"/>
  <c r="BS42" i="5" s="1"/>
  <c r="BQ43" i="5"/>
  <c r="BR43" i="5" s="1"/>
  <c r="BS43" i="5" s="1" a="1"/>
  <c r="BS43" i="5" s="1"/>
  <c r="BQ44" i="5"/>
  <c r="BR44" i="5" s="1"/>
  <c r="BT44" i="5" s="1" a="1"/>
  <c r="BT44" i="5" s="1"/>
  <c r="BQ45" i="5"/>
  <c r="BR45" i="5" s="1"/>
  <c r="BT45" i="5" s="1" a="1"/>
  <c r="BT45" i="5" s="1"/>
  <c r="BQ46" i="5"/>
  <c r="BR46" i="5" s="1"/>
  <c r="BQ47" i="5"/>
  <c r="BR47" i="5" s="1"/>
  <c r="BQ48" i="5"/>
  <c r="BR48" i="5" s="1"/>
  <c r="BQ49" i="5"/>
  <c r="BR49" i="5" s="1"/>
  <c r="BS49" i="5" s="1" a="1"/>
  <c r="BS49" i="5" s="1"/>
  <c r="BQ50" i="5"/>
  <c r="BR50" i="5" s="1"/>
  <c r="BQ51" i="5"/>
  <c r="BR51" i="5" s="1"/>
  <c r="BQ52" i="5"/>
  <c r="BR52" i="5" s="1"/>
  <c r="BS52" i="5" s="1" a="1"/>
  <c r="BS52" i="5" s="1"/>
  <c r="BQ53" i="5"/>
  <c r="BR53" i="5" s="1"/>
  <c r="BQ54" i="5"/>
  <c r="BR54" i="5" s="1"/>
  <c r="BQ55" i="5"/>
  <c r="BR55" i="5" s="1"/>
  <c r="BS55" i="5" s="1" a="1"/>
  <c r="BS55" i="5" s="1"/>
  <c r="BQ56" i="5"/>
  <c r="BR56" i="5" s="1"/>
  <c r="BT56" i="5" s="1" a="1"/>
  <c r="BT56" i="5" s="1"/>
  <c r="BQ57" i="5"/>
  <c r="BR57" i="5" s="1"/>
  <c r="BT57" i="5" s="1" a="1"/>
  <c r="BT57" i="5" s="1"/>
  <c r="BQ58" i="5"/>
  <c r="BR58" i="5" s="1"/>
  <c r="BQ59" i="5"/>
  <c r="BR59" i="5" s="1"/>
  <c r="BQ60" i="5"/>
  <c r="BR60" i="5" s="1"/>
  <c r="BS60" i="5" s="1" a="1"/>
  <c r="BS60" i="5" s="1"/>
  <c r="BQ61" i="5"/>
  <c r="BR61" i="5" s="1"/>
  <c r="BQ62" i="5"/>
  <c r="BR62" i="5" s="1"/>
  <c r="BQ63" i="5"/>
  <c r="BR63" i="5" s="1"/>
  <c r="BQ64" i="5"/>
  <c r="BR64" i="5" s="1"/>
  <c r="BQ65" i="5"/>
  <c r="BR65" i="5" s="1"/>
  <c r="BS65" i="5" s="1" a="1"/>
  <c r="BS65" i="5" s="1"/>
  <c r="BQ66" i="5"/>
  <c r="BR66" i="5" s="1"/>
  <c r="BS66" i="5" s="1" a="1"/>
  <c r="BS66" i="5" s="1"/>
  <c r="BQ67" i="5"/>
  <c r="BR67" i="5" s="1"/>
  <c r="BQ68" i="5"/>
  <c r="BR68" i="5" s="1"/>
  <c r="BT68" i="5" s="1" a="1"/>
  <c r="BT68" i="5" s="1"/>
  <c r="BQ69" i="5"/>
  <c r="BR69" i="5" s="1"/>
  <c r="BT69" i="5" s="1" a="1"/>
  <c r="BT69" i="5" s="1"/>
  <c r="BQ70" i="5"/>
  <c r="BR70" i="5" s="1"/>
  <c r="BT70" i="5" s="1" a="1"/>
  <c r="BT70" i="5" s="1"/>
  <c r="BQ71" i="5"/>
  <c r="BR71" i="5" s="1"/>
  <c r="BT71" i="5" s="1" a="1"/>
  <c r="BT71" i="5" s="1"/>
  <c r="BQ72" i="5"/>
  <c r="BR72" i="5" s="1"/>
  <c r="BQ73" i="5"/>
  <c r="BR73" i="5" s="1"/>
  <c r="BQ74" i="5"/>
  <c r="BR74" i="5" s="1"/>
  <c r="BQ75" i="5"/>
  <c r="BR75" i="5" s="1"/>
  <c r="BT75" i="5" s="1" a="1"/>
  <c r="BT75" i="5" s="1"/>
  <c r="BQ76" i="5"/>
  <c r="BR76" i="5" s="1"/>
  <c r="BT76" i="5" s="1" a="1"/>
  <c r="BT76" i="5" s="1"/>
  <c r="BQ77" i="5"/>
  <c r="BR77" i="5" s="1"/>
  <c r="BT77" i="5" s="1" a="1"/>
  <c r="BT77" i="5" s="1"/>
  <c r="BL2" i="5"/>
  <c r="BM2" i="5" s="1"/>
  <c r="BN2" i="5" s="1" a="1"/>
  <c r="BN2" i="5" s="1"/>
  <c r="BL3" i="5"/>
  <c r="BM3" i="5" s="1"/>
  <c r="BO3" i="5" s="1" a="1"/>
  <c r="BO3" i="5" s="1"/>
  <c r="BL4" i="5"/>
  <c r="BM4" i="5" s="1"/>
  <c r="BN4" i="5" s="1" a="1"/>
  <c r="BN4" i="5" s="1"/>
  <c r="BL5" i="5"/>
  <c r="BM5" i="5" s="1"/>
  <c r="BN5" i="5" s="1" a="1"/>
  <c r="BN5" i="5" s="1"/>
  <c r="BL6" i="5"/>
  <c r="BM6" i="5" s="1"/>
  <c r="BN6" i="5" s="1" a="1"/>
  <c r="BN6" i="5" s="1"/>
  <c r="BL7" i="5"/>
  <c r="BM7" i="5" s="1"/>
  <c r="BN7" i="5" s="1" a="1"/>
  <c r="BN7" i="5" s="1"/>
  <c r="BL8" i="5"/>
  <c r="BM8" i="5" s="1"/>
  <c r="BN8" i="5" s="1" a="1"/>
  <c r="BN8" i="5" s="1"/>
  <c r="BL9" i="5"/>
  <c r="BM9" i="5" s="1"/>
  <c r="BN9" i="5" s="1" a="1"/>
  <c r="BN9" i="5" s="1"/>
  <c r="BL10" i="5"/>
  <c r="BM10" i="5" s="1"/>
  <c r="BN10" i="5" s="1" a="1"/>
  <c r="BN10" i="5" s="1"/>
  <c r="BL11" i="5"/>
  <c r="BM11" i="5" s="1"/>
  <c r="BN11" i="5" s="1" a="1"/>
  <c r="BN11" i="5" s="1"/>
  <c r="BL12" i="5"/>
  <c r="BM12" i="5" s="1"/>
  <c r="BN12" i="5" s="1" a="1"/>
  <c r="BN12" i="5" s="1"/>
  <c r="BL13" i="5"/>
  <c r="BM13" i="5" s="1"/>
  <c r="BL14" i="5"/>
  <c r="BM14" i="5" s="1"/>
  <c r="BO14" i="5" s="1" a="1"/>
  <c r="BO14" i="5" s="1"/>
  <c r="BL15" i="5"/>
  <c r="BM15" i="5" s="1"/>
  <c r="BO15" i="5" s="1" a="1"/>
  <c r="BO15" i="5" s="1"/>
  <c r="BL16" i="5"/>
  <c r="BM16" i="5" s="1"/>
  <c r="BN16" i="5" s="1" a="1"/>
  <c r="BN16" i="5" s="1"/>
  <c r="BL17" i="5"/>
  <c r="BM17" i="5" s="1"/>
  <c r="BN17" i="5" s="1" a="1"/>
  <c r="BN17" i="5" s="1"/>
  <c r="BL18" i="5"/>
  <c r="BM18" i="5" s="1"/>
  <c r="BN18" i="5" s="1" a="1"/>
  <c r="BN18" i="5" s="1"/>
  <c r="BL19" i="5"/>
  <c r="BM19" i="5" s="1"/>
  <c r="BN19" i="5" s="1" a="1"/>
  <c r="BN19" i="5" s="1"/>
  <c r="BL20" i="5"/>
  <c r="BM20" i="5" s="1"/>
  <c r="BN20" i="5" s="1" a="1"/>
  <c r="BN20" i="5" s="1"/>
  <c r="BL21" i="5"/>
  <c r="BM21" i="5" s="1"/>
  <c r="BN21" i="5" s="1" a="1"/>
  <c r="BN21" i="5" s="1"/>
  <c r="BL22" i="5"/>
  <c r="BM22" i="5" s="1"/>
  <c r="BN22" i="5" s="1" a="1"/>
  <c r="BN22" i="5" s="1"/>
  <c r="BL23" i="5"/>
  <c r="BM23" i="5" s="1"/>
  <c r="BN23" i="5" s="1" a="1"/>
  <c r="BN23" i="5" s="1"/>
  <c r="BL24" i="5"/>
  <c r="BM24" i="5" s="1"/>
  <c r="BN24" i="5" s="1" a="1"/>
  <c r="BN24" i="5" s="1"/>
  <c r="BL25" i="5"/>
  <c r="BM25" i="5" s="1"/>
  <c r="BL26" i="5"/>
  <c r="BM26" i="5" s="1"/>
  <c r="BN26" i="5" s="1" a="1"/>
  <c r="BN26" i="5" s="1"/>
  <c r="BL27" i="5"/>
  <c r="BM27" i="5" s="1"/>
  <c r="BO27" i="5" s="1" a="1"/>
  <c r="BO27" i="5" s="1"/>
  <c r="BL28" i="5"/>
  <c r="BM28" i="5" s="1"/>
  <c r="BO28" i="5" s="1" a="1"/>
  <c r="BO28" i="5" s="1"/>
  <c r="BL29" i="5"/>
  <c r="BM29" i="5" s="1"/>
  <c r="BO29" i="5" s="1" a="1"/>
  <c r="BO29" i="5" s="1"/>
  <c r="BL30" i="5"/>
  <c r="BM30" i="5" s="1"/>
  <c r="BO30" i="5" s="1" a="1"/>
  <c r="BO30" i="5" s="1"/>
  <c r="BL31" i="5"/>
  <c r="BM31" i="5" s="1"/>
  <c r="BN31" i="5" s="1" a="1"/>
  <c r="BN31" i="5" s="1"/>
  <c r="BL32" i="5"/>
  <c r="BM32" i="5" s="1"/>
  <c r="BN32" i="5" s="1" a="1"/>
  <c r="BN32" i="5" s="1"/>
  <c r="BL33" i="5"/>
  <c r="BM33" i="5" s="1"/>
  <c r="BN33" i="5" s="1" a="1"/>
  <c r="BN33" i="5" s="1"/>
  <c r="BL34" i="5"/>
  <c r="BM34" i="5" s="1"/>
  <c r="BN34" i="5" s="1" a="1"/>
  <c r="BN34" i="5" s="1"/>
  <c r="BL35" i="5"/>
  <c r="BM35" i="5" s="1"/>
  <c r="BN35" i="5" s="1" a="1"/>
  <c r="BN35" i="5" s="1"/>
  <c r="BL36" i="5"/>
  <c r="BM36" i="5" s="1"/>
  <c r="BN36" i="5" s="1" a="1"/>
  <c r="BN36" i="5" s="1"/>
  <c r="BL37" i="5"/>
  <c r="BM37" i="5" s="1"/>
  <c r="BN37" i="5" s="1" a="1"/>
  <c r="BN37" i="5" s="1"/>
  <c r="BL38" i="5"/>
  <c r="BM38" i="5" s="1"/>
  <c r="BN38" i="5" s="1" a="1"/>
  <c r="BN38" i="5" s="1"/>
  <c r="BL39" i="5"/>
  <c r="BM39" i="5" s="1"/>
  <c r="BN39" i="5" s="1" a="1"/>
  <c r="BN39" i="5" s="1"/>
  <c r="BL40" i="5"/>
  <c r="BM40" i="5" s="1"/>
  <c r="BN40" i="5" s="1" a="1"/>
  <c r="BN40" i="5" s="1"/>
  <c r="BL41" i="5"/>
  <c r="BM41" i="5" s="1"/>
  <c r="BO41" i="5" s="1" a="1"/>
  <c r="BO41" i="5" s="1"/>
  <c r="BL42" i="5"/>
  <c r="BM42" i="5" s="1"/>
  <c r="BN42" i="5" s="1" a="1"/>
  <c r="BN42" i="5" s="1"/>
  <c r="BL43" i="5"/>
  <c r="BM43" i="5" s="1"/>
  <c r="BN43" i="5" s="1" a="1"/>
  <c r="BN43" i="5" s="1"/>
  <c r="BL44" i="5"/>
  <c r="BM44" i="5" s="1"/>
  <c r="BN44" i="5" s="1" a="1"/>
  <c r="BN44" i="5" s="1"/>
  <c r="BL45" i="5"/>
  <c r="BM45" i="5" s="1"/>
  <c r="BN45" i="5" s="1" a="1"/>
  <c r="BN45" i="5" s="1"/>
  <c r="BL46" i="5"/>
  <c r="BM46" i="5" s="1"/>
  <c r="BN46" i="5" s="1" a="1"/>
  <c r="BN46" i="5" s="1"/>
  <c r="BL47" i="5"/>
  <c r="BM47" i="5" s="1"/>
  <c r="BN47" i="5" s="1" a="1"/>
  <c r="BN47" i="5" s="1"/>
  <c r="BL48" i="5"/>
  <c r="BM48" i="5" s="1"/>
  <c r="BL49" i="5"/>
  <c r="BM49" i="5" s="1"/>
  <c r="BL50" i="5"/>
  <c r="BM50" i="5" s="1"/>
  <c r="BN50" i="5" s="1" a="1"/>
  <c r="BN50" i="5" s="1"/>
  <c r="BL51" i="5"/>
  <c r="BM51" i="5" s="1"/>
  <c r="BO51" i="5" s="1" a="1"/>
  <c r="BO51" i="5" s="1"/>
  <c r="BL52" i="5"/>
  <c r="BM52" i="5" s="1"/>
  <c r="BN52" i="5" s="1" a="1"/>
  <c r="BN52" i="5" s="1"/>
  <c r="BL53" i="5"/>
  <c r="BM53" i="5" s="1"/>
  <c r="BN53" i="5" s="1" a="1"/>
  <c r="BN53" i="5" s="1"/>
  <c r="BL54" i="5"/>
  <c r="BM54" i="5" s="1"/>
  <c r="BN54" i="5" s="1" a="1"/>
  <c r="BN54" i="5" s="1"/>
  <c r="BL55" i="5"/>
  <c r="BM55" i="5" s="1"/>
  <c r="BO55" i="5" s="1" a="1"/>
  <c r="BO55" i="5" s="1"/>
  <c r="BL56" i="5"/>
  <c r="BM56" i="5" s="1"/>
  <c r="BO56" i="5" s="1" a="1"/>
  <c r="BO56" i="5" s="1"/>
  <c r="BL57" i="5"/>
  <c r="BM57" i="5" s="1"/>
  <c r="BN57" i="5" s="1" a="1"/>
  <c r="BN57" i="5" s="1"/>
  <c r="BL58" i="5"/>
  <c r="BM58" i="5" s="1"/>
  <c r="BN58" i="5" s="1" a="1"/>
  <c r="BN58" i="5" s="1"/>
  <c r="BL59" i="5"/>
  <c r="BM59" i="5" s="1"/>
  <c r="BL60" i="5"/>
  <c r="BM60" i="5" s="1"/>
  <c r="BL61" i="5"/>
  <c r="BM61" i="5" s="1"/>
  <c r="BL62" i="5"/>
  <c r="BM62" i="5" s="1"/>
  <c r="BN62" i="5" s="1" a="1"/>
  <c r="BN62" i="5" s="1"/>
  <c r="BL63" i="5"/>
  <c r="BM63" i="5" s="1"/>
  <c r="BO63" i="5" s="1" a="1"/>
  <c r="BO63" i="5" s="1"/>
  <c r="BL64" i="5"/>
  <c r="BM64" i="5" s="1"/>
  <c r="BN64" i="5" s="1" a="1"/>
  <c r="BN64" i="5" s="1"/>
  <c r="BL65" i="5"/>
  <c r="BM65" i="5" s="1"/>
  <c r="BN65" i="5" s="1" a="1"/>
  <c r="BN65" i="5" s="1"/>
  <c r="BL66" i="5"/>
  <c r="BM66" i="5" s="1"/>
  <c r="BN66" i="5" s="1" a="1"/>
  <c r="BN66" i="5" s="1"/>
  <c r="BL67" i="5"/>
  <c r="BM67" i="5" s="1"/>
  <c r="BN67" i="5" s="1" a="1"/>
  <c r="BN67" i="5" s="1"/>
  <c r="BL68" i="5"/>
  <c r="BM68" i="5" s="1"/>
  <c r="BN68" i="5" s="1" a="1"/>
  <c r="BN68" i="5" s="1"/>
  <c r="BL69" i="5"/>
  <c r="BM69" i="5" s="1"/>
  <c r="BO69" i="5" s="1" a="1"/>
  <c r="BO69" i="5" s="1"/>
  <c r="BL70" i="5"/>
  <c r="BM70" i="5" s="1"/>
  <c r="BN70" i="5" s="1" a="1"/>
  <c r="BN70" i="5" s="1"/>
  <c r="BL71" i="5"/>
  <c r="BM71" i="5" s="1"/>
  <c r="BN71" i="5" s="1" a="1"/>
  <c r="BN71" i="5" s="1"/>
  <c r="BL72" i="5"/>
  <c r="BM72" i="5" s="1"/>
  <c r="BN72" i="5" s="1" a="1"/>
  <c r="BN72" i="5" s="1"/>
  <c r="BL73" i="5"/>
  <c r="BM73" i="5" s="1"/>
  <c r="BN73" i="5" s="1" a="1"/>
  <c r="BN73" i="5" s="1"/>
  <c r="BL74" i="5"/>
  <c r="BM74" i="5" s="1"/>
  <c r="BN74" i="5" s="1" a="1"/>
  <c r="BN74" i="5" s="1"/>
  <c r="BL75" i="5"/>
  <c r="BM75" i="5" s="1"/>
  <c r="BO75" i="5" s="1" a="1"/>
  <c r="BO75" i="5" s="1"/>
  <c r="BL76" i="5"/>
  <c r="BM76" i="5" s="1"/>
  <c r="BO76" i="5" s="1" a="1"/>
  <c r="BO76" i="5" s="1"/>
  <c r="BL77" i="5"/>
  <c r="BM77" i="5" s="1"/>
  <c r="BN77" i="5" s="1" a="1"/>
  <c r="BN77" i="5" s="1"/>
  <c r="R2" i="5"/>
  <c r="O2" i="5"/>
  <c r="E2" i="5"/>
  <c r="D2" i="5"/>
  <c r="L5" i="1" l="1"/>
  <c r="BO107" i="5" a="1"/>
  <c r="BO107" i="5" s="1"/>
  <c r="BN107" i="5" a="1"/>
  <c r="BN107" i="5" s="1"/>
  <c r="BO131" i="5" a="1"/>
  <c r="BO131" i="5" s="1"/>
  <c r="BP131" i="5" s="1"/>
  <c r="BO95" i="5" a="1"/>
  <c r="BO95" i="5" s="1"/>
  <c r="BP95" i="5" s="1"/>
  <c r="BN94" i="5" a="1"/>
  <c r="BN94" i="5" s="1"/>
  <c r="BO94" i="5" a="1"/>
  <c r="BO94" i="5" s="1"/>
  <c r="BO106" i="5" a="1"/>
  <c r="BO106" i="5" s="1"/>
  <c r="BP106" i="5" s="1"/>
  <c r="BN86" i="5" a="1"/>
  <c r="BN86" i="5" s="1"/>
  <c r="BP86" i="5" s="1"/>
  <c r="BT133" i="5" a="1"/>
  <c r="BT133" i="5" s="1"/>
  <c r="BU133" i="5" s="1"/>
  <c r="BT121" i="5" a="1"/>
  <c r="BT121" i="5" s="1"/>
  <c r="BU121" i="5" s="1"/>
  <c r="BO130" i="5" a="1"/>
  <c r="BO130" i="5" s="1"/>
  <c r="BP130" i="5" s="1"/>
  <c r="BO128" i="5" a="1"/>
  <c r="BO128" i="5" s="1"/>
  <c r="BP128" i="5" s="1"/>
  <c r="BN120" i="5" a="1"/>
  <c r="BN120" i="5" s="1"/>
  <c r="BO120" i="5" a="1"/>
  <c r="BO120" i="5" s="1"/>
  <c r="BN108" i="5" a="1"/>
  <c r="BN108" i="5" s="1"/>
  <c r="BO108" i="5" a="1"/>
  <c r="BO108" i="5" s="1"/>
  <c r="BN96" i="5" a="1"/>
  <c r="BN96" i="5" s="1"/>
  <c r="BO96" i="5" a="1"/>
  <c r="BO96" i="5" s="1"/>
  <c r="BN110" i="5" a="1"/>
  <c r="BN110" i="5" s="1"/>
  <c r="BO110" i="5" a="1"/>
  <c r="BO110" i="5" s="1"/>
  <c r="BN129" i="5" a="1"/>
  <c r="BN129" i="5" s="1"/>
  <c r="BO129" i="5" a="1"/>
  <c r="BO129" i="5" s="1"/>
  <c r="BO105" i="5" a="1"/>
  <c r="BO105" i="5" s="1"/>
  <c r="BN105" i="5" a="1"/>
  <c r="BN105" i="5" s="1"/>
  <c r="BS120" i="5" a="1"/>
  <c r="BS120" i="5" s="1"/>
  <c r="BT120" i="5" a="1"/>
  <c r="BT120" i="5" s="1"/>
  <c r="BO92" i="5" a="1"/>
  <c r="BO92" i="5" s="1"/>
  <c r="BN92" i="5" a="1"/>
  <c r="BN92" i="5" s="1"/>
  <c r="BO119" i="5" a="1"/>
  <c r="BO119" i="5" s="1"/>
  <c r="BP119" i="5" s="1"/>
  <c r="BN132" i="5" a="1"/>
  <c r="BN132" i="5" s="1"/>
  <c r="BP132" i="5" s="1"/>
  <c r="BN104" i="5" a="1"/>
  <c r="BN104" i="5" s="1"/>
  <c r="BP104" i="5" s="1"/>
  <c r="BO118" i="5" a="1"/>
  <c r="BO118" i="5" s="1"/>
  <c r="BP118" i="5" s="1"/>
  <c r="BO117" i="5" a="1"/>
  <c r="BO117" i="5" s="1"/>
  <c r="BP117" i="5" s="1"/>
  <c r="BO116" i="5" a="1"/>
  <c r="BO116" i="5" s="1"/>
  <c r="BP116" i="5" s="1"/>
  <c r="BS131" i="5" a="1"/>
  <c r="BS131" i="5" s="1"/>
  <c r="BT131" i="5" a="1"/>
  <c r="BT131" i="5" s="1"/>
  <c r="BS119" i="5" a="1"/>
  <c r="BS119" i="5" s="1"/>
  <c r="BT119" i="5" a="1"/>
  <c r="BT119" i="5" s="1"/>
  <c r="BN125" i="5" a="1"/>
  <c r="BN125" i="5" s="1"/>
  <c r="BO125" i="5" a="1"/>
  <c r="BO125" i="5" s="1"/>
  <c r="BO124" i="5" a="1"/>
  <c r="BO124" i="5" s="1"/>
  <c r="BP124" i="5" s="1"/>
  <c r="BT110" i="5" a="1"/>
  <c r="BT110" i="5" s="1"/>
  <c r="BU110" i="5" s="1"/>
  <c r="BS130" i="5" a="1"/>
  <c r="BS130" i="5" s="1"/>
  <c r="BU130" i="5" s="1"/>
  <c r="BN88" i="5" a="1"/>
  <c r="BN88" i="5" s="1"/>
  <c r="BP88" i="5" s="1"/>
  <c r="BT83" i="5" a="1"/>
  <c r="BT83" i="5" s="1"/>
  <c r="BU83" i="5" s="1"/>
  <c r="BT82" i="5" a="1"/>
  <c r="BT82" i="5" s="1"/>
  <c r="BU82" i="5" s="1"/>
  <c r="BN78" i="5" a="1"/>
  <c r="BN78" i="5" s="1"/>
  <c r="BP78" i="5" s="1"/>
  <c r="BO93" i="5" a="1"/>
  <c r="BO93" i="5" s="1"/>
  <c r="BP93" i="5" s="1"/>
  <c r="BT113" i="5" a="1"/>
  <c r="BT113" i="5" s="1"/>
  <c r="BS113" i="5" a="1"/>
  <c r="BS113" i="5" s="1"/>
  <c r="BS112" i="5" a="1"/>
  <c r="BS112" i="5" s="1"/>
  <c r="BT112" i="5" a="1"/>
  <c r="BT112" i="5" s="1"/>
  <c r="BT132" i="5" a="1"/>
  <c r="BT132" i="5" s="1"/>
  <c r="BU132" i="5" s="1"/>
  <c r="BO126" i="5" a="1"/>
  <c r="BO126" i="5" s="1"/>
  <c r="BP126" i="5" s="1"/>
  <c r="BO112" i="5" a="1"/>
  <c r="BO112" i="5" s="1"/>
  <c r="BP112" i="5" s="1"/>
  <c r="BO100" i="5" a="1"/>
  <c r="BO100" i="5" s="1"/>
  <c r="BP100" i="5" s="1"/>
  <c r="BT108" i="5" a="1"/>
  <c r="BT108" i="5" s="1"/>
  <c r="BU108" i="5" s="1"/>
  <c r="BN101" i="5" a="1"/>
  <c r="BN101" i="5" s="1"/>
  <c r="BP101" i="5" s="1"/>
  <c r="BT129" i="5" a="1"/>
  <c r="BT129" i="5" s="1"/>
  <c r="BU129" i="5" s="1"/>
  <c r="BN114" i="5" a="1"/>
  <c r="BN114" i="5" s="1"/>
  <c r="BP114" i="5" s="1"/>
  <c r="BS109" i="5" a="1"/>
  <c r="BS109" i="5" s="1"/>
  <c r="BU109" i="5" s="1"/>
  <c r="BO90" i="5" a="1"/>
  <c r="BO90" i="5" s="1"/>
  <c r="BP90" i="5" s="1"/>
  <c r="BS122" i="5" a="1"/>
  <c r="BS122" i="5" s="1"/>
  <c r="BU122" i="5" s="1"/>
  <c r="BO89" i="5" a="1"/>
  <c r="BO89" i="5" s="1"/>
  <c r="BP89" i="5" s="1"/>
  <c r="BN102" i="5" a="1"/>
  <c r="BN102" i="5" s="1"/>
  <c r="BP102" i="5" s="1"/>
  <c r="BS80" i="5" a="1"/>
  <c r="BS80" i="5" s="1"/>
  <c r="BU80" i="5" s="1"/>
  <c r="BN122" i="5" a="1"/>
  <c r="BN122" i="5" s="1"/>
  <c r="BP122" i="5" s="1"/>
  <c r="BT115" i="5" a="1"/>
  <c r="BT115" i="5" s="1"/>
  <c r="BS115" i="5" a="1"/>
  <c r="BS115" i="5" s="1"/>
  <c r="BS103" i="5" a="1"/>
  <c r="BS103" i="5" s="1"/>
  <c r="BT103" i="5" a="1"/>
  <c r="BT103" i="5" s="1"/>
  <c r="BT101" i="5" a="1"/>
  <c r="BT101" i="5" s="1"/>
  <c r="BS101" i="5" a="1"/>
  <c r="BS101" i="5" s="1"/>
  <c r="BT85" i="5" a="1"/>
  <c r="BT85" i="5" s="1"/>
  <c r="BS85" i="5" a="1"/>
  <c r="BS85" i="5" s="1"/>
  <c r="BT100" i="5" a="1"/>
  <c r="BT100" i="5" s="1"/>
  <c r="BS100" i="5" a="1"/>
  <c r="BS100" i="5" s="1"/>
  <c r="BT84" i="5" a="1"/>
  <c r="BT84" i="5" s="1"/>
  <c r="BS84" i="5" a="1"/>
  <c r="BS84" i="5" s="1"/>
  <c r="BT127" i="5" a="1"/>
  <c r="BT127" i="5" s="1"/>
  <c r="BS127" i="5" a="1"/>
  <c r="BS127" i="5" s="1"/>
  <c r="BT102" i="5" a="1"/>
  <c r="BT102" i="5" s="1"/>
  <c r="BS102" i="5" a="1"/>
  <c r="BS102" i="5" s="1"/>
  <c r="BO79" i="5" a="1"/>
  <c r="BO79" i="5" s="1"/>
  <c r="BN79" i="5" a="1"/>
  <c r="BN79" i="5" s="1"/>
  <c r="BT128" i="5" a="1"/>
  <c r="BT128" i="5" s="1"/>
  <c r="BS128" i="5" a="1"/>
  <c r="BS128" i="5" s="1"/>
  <c r="BS116" i="5" a="1"/>
  <c r="BS116" i="5" s="1"/>
  <c r="BT116" i="5" a="1"/>
  <c r="BT116" i="5" s="1"/>
  <c r="BS104" i="5" a="1"/>
  <c r="BS104" i="5" s="1"/>
  <c r="BT104" i="5" a="1"/>
  <c r="BT104" i="5" s="1"/>
  <c r="BT111" i="5" a="1"/>
  <c r="BT111" i="5" s="1"/>
  <c r="BU111" i="5" s="1"/>
  <c r="BS81" i="5" a="1"/>
  <c r="BS81" i="5" s="1"/>
  <c r="BU81" i="5" s="1"/>
  <c r="BO98" i="5" a="1"/>
  <c r="BO98" i="5" s="1"/>
  <c r="BP98" i="5" s="1"/>
  <c r="BT126" i="5" a="1"/>
  <c r="BT126" i="5" s="1"/>
  <c r="BU126" i="5" s="1"/>
  <c r="BT118" i="5" a="1"/>
  <c r="BT118" i="5" s="1"/>
  <c r="BU118" i="5" s="1"/>
  <c r="BT117" i="5" a="1"/>
  <c r="BT117" i="5" s="1"/>
  <c r="BU117" i="5" s="1"/>
  <c r="BT99" i="5" a="1"/>
  <c r="BT99" i="5" s="1"/>
  <c r="BU99" i="5" s="1"/>
  <c r="BO123" i="5" a="1"/>
  <c r="BO123" i="5" s="1"/>
  <c r="BP123" i="5" s="1"/>
  <c r="BO113" i="5" a="1"/>
  <c r="BO113" i="5" s="1"/>
  <c r="BP113" i="5" s="1"/>
  <c r="BO87" i="5" a="1"/>
  <c r="BO87" i="5" s="1"/>
  <c r="BP87" i="5" s="1"/>
  <c r="BN99" i="5" a="1"/>
  <c r="BN99" i="5" s="1"/>
  <c r="BP99" i="5" s="1"/>
  <c r="BT79" i="5" a="1"/>
  <c r="BT79" i="5" s="1"/>
  <c r="BU79" i="5" s="1"/>
  <c r="BT125" i="5" a="1"/>
  <c r="BT125" i="5" s="1"/>
  <c r="BU125" i="5" s="1"/>
  <c r="BT107" i="5" a="1"/>
  <c r="BT107" i="5" s="1"/>
  <c r="BU107" i="5" s="1"/>
  <c r="BN127" i="5" a="1"/>
  <c r="BN127" i="5" s="1"/>
  <c r="BO127" i="5" a="1"/>
  <c r="BO127" i="5" s="1"/>
  <c r="BN115" i="5" a="1"/>
  <c r="BN115" i="5" s="1"/>
  <c r="BO115" i="5" a="1"/>
  <c r="BO115" i="5" s="1"/>
  <c r="BN103" i="5" a="1"/>
  <c r="BN103" i="5" s="1"/>
  <c r="BO103" i="5" a="1"/>
  <c r="BO103" i="5" s="1"/>
  <c r="BN91" i="5" a="1"/>
  <c r="BN91" i="5" s="1"/>
  <c r="BO91" i="5" a="1"/>
  <c r="BO91" i="5" s="1"/>
  <c r="BN111" i="5" a="1"/>
  <c r="BN111" i="5" s="1"/>
  <c r="BP111" i="5" s="1"/>
  <c r="BS78" i="5" a="1"/>
  <c r="BS78" i="5" s="1"/>
  <c r="BU78" i="5" s="1"/>
  <c r="BT124" i="5" a="1"/>
  <c r="BT124" i="5" s="1"/>
  <c r="BU124" i="5" s="1"/>
  <c r="BT106" i="5" a="1"/>
  <c r="BT106" i="5" s="1"/>
  <c r="BU106" i="5" s="1"/>
  <c r="BT123" i="5" a="1"/>
  <c r="BT123" i="5" s="1"/>
  <c r="BU123" i="5" s="1"/>
  <c r="BT105" i="5" a="1"/>
  <c r="BT105" i="5" s="1"/>
  <c r="BU105" i="5" s="1"/>
  <c r="BS114" i="5" a="1"/>
  <c r="BS114" i="5" s="1"/>
  <c r="BU114" i="5" s="1"/>
  <c r="BO133" i="5" a="1"/>
  <c r="BO133" i="5" s="1"/>
  <c r="BP133" i="5" s="1"/>
  <c r="BO121" i="5" a="1"/>
  <c r="BO121" i="5" s="1"/>
  <c r="BP121" i="5" s="1"/>
  <c r="BO109" i="5" a="1"/>
  <c r="BO109" i="5" s="1"/>
  <c r="BP109" i="5" s="1"/>
  <c r="BO97" i="5" a="1"/>
  <c r="BO97" i="5" s="1"/>
  <c r="BP97" i="5" s="1"/>
  <c r="BT86" i="5" a="1"/>
  <c r="BT86" i="5" s="1"/>
  <c r="BS86" i="5" a="1"/>
  <c r="BS86" i="5" s="1"/>
  <c r="BT87" i="5" a="1"/>
  <c r="BT87" i="5" s="1"/>
  <c r="BS87" i="5" a="1"/>
  <c r="BS87" i="5" s="1"/>
  <c r="BT88" i="5" a="1"/>
  <c r="BT88" i="5" s="1"/>
  <c r="BS88" i="5" a="1"/>
  <c r="BS88" i="5" s="1"/>
  <c r="BT89" i="5" a="1"/>
  <c r="BT89" i="5" s="1"/>
  <c r="BS89" i="5" a="1"/>
  <c r="BS89" i="5" s="1"/>
  <c r="BT90" i="5" a="1"/>
  <c r="BT90" i="5" s="1"/>
  <c r="BS90" i="5" a="1"/>
  <c r="BS90" i="5" s="1"/>
  <c r="BT91" i="5" a="1"/>
  <c r="BT91" i="5" s="1"/>
  <c r="BS91" i="5" a="1"/>
  <c r="BS91" i="5" s="1"/>
  <c r="BT92" i="5" a="1"/>
  <c r="BT92" i="5" s="1"/>
  <c r="BS92" i="5" a="1"/>
  <c r="BS92" i="5" s="1"/>
  <c r="BT93" i="5" a="1"/>
  <c r="BT93" i="5" s="1"/>
  <c r="BS93" i="5" a="1"/>
  <c r="BS93" i="5" s="1"/>
  <c r="BT94" i="5" a="1"/>
  <c r="BT94" i="5" s="1"/>
  <c r="BS94" i="5" a="1"/>
  <c r="BS94" i="5" s="1"/>
  <c r="BT95" i="5" a="1"/>
  <c r="BT95" i="5" s="1"/>
  <c r="BS95" i="5" a="1"/>
  <c r="BS95" i="5" s="1"/>
  <c r="BT96" i="5" a="1"/>
  <c r="BT96" i="5" s="1"/>
  <c r="BS96" i="5" a="1"/>
  <c r="BS96" i="5" s="1"/>
  <c r="BT97" i="5" a="1"/>
  <c r="BT97" i="5" s="1"/>
  <c r="BS97" i="5" a="1"/>
  <c r="BS97" i="5" s="1"/>
  <c r="BT98" i="5" a="1"/>
  <c r="BT98" i="5" s="1"/>
  <c r="BS98" i="5" a="1"/>
  <c r="BS98" i="5" s="1"/>
  <c r="BN80" i="5" a="1"/>
  <c r="BN80" i="5" s="1"/>
  <c r="BO80" i="5" a="1"/>
  <c r="BO80" i="5" s="1"/>
  <c r="BN81" i="5" a="1"/>
  <c r="BN81" i="5" s="1"/>
  <c r="BO81" i="5" a="1"/>
  <c r="BO81" i="5" s="1"/>
  <c r="BN82" i="5" a="1"/>
  <c r="BN82" i="5" s="1"/>
  <c r="BO82" i="5" a="1"/>
  <c r="BO82" i="5" s="1"/>
  <c r="BN83" i="5" a="1"/>
  <c r="BN83" i="5" s="1"/>
  <c r="BO83" i="5" a="1"/>
  <c r="BO83" i="5" s="1"/>
  <c r="BO84" i="5" a="1"/>
  <c r="BO84" i="5" s="1"/>
  <c r="BN84" i="5" a="1"/>
  <c r="BN84" i="5" s="1"/>
  <c r="BO85" i="5" a="1"/>
  <c r="BO85" i="5" s="1"/>
  <c r="BN85" i="5" a="1"/>
  <c r="BN85" i="5" s="1"/>
  <c r="BT2" i="5" a="1"/>
  <c r="BT2" i="5" s="1"/>
  <c r="BS2" i="5" a="1"/>
  <c r="BS2" i="5" s="1"/>
  <c r="BT3" i="5" a="1"/>
  <c r="BT3" i="5" s="1"/>
  <c r="BS3" i="5" a="1"/>
  <c r="BS3" i="5" s="1"/>
  <c r="BS12" i="5" a="1"/>
  <c r="BS12" i="5" s="1"/>
  <c r="BT12" i="5" a="1"/>
  <c r="BT12" i="5" s="1"/>
  <c r="BS13" i="5" a="1"/>
  <c r="BS13" i="5" s="1"/>
  <c r="BT13" i="5" a="1"/>
  <c r="BT13" i="5" s="1"/>
  <c r="BS14" i="5" a="1"/>
  <c r="BS14" i="5" s="1"/>
  <c r="BT14" i="5" a="1"/>
  <c r="BT14" i="5" s="1"/>
  <c r="BS15" i="5" a="1"/>
  <c r="BS15" i="5" s="1"/>
  <c r="BT15" i="5" a="1"/>
  <c r="BT15" i="5" s="1"/>
  <c r="BT22" i="5" a="1"/>
  <c r="BT22" i="5" s="1"/>
  <c r="BS22" i="5" a="1"/>
  <c r="BS22" i="5" s="1"/>
  <c r="BT26" i="5" a="1"/>
  <c r="BT26" i="5" s="1"/>
  <c r="BS26" i="5" a="1"/>
  <c r="BS26" i="5" s="1"/>
  <c r="BT27" i="5" a="1"/>
  <c r="BT27" i="5" s="1"/>
  <c r="BS27" i="5" a="1"/>
  <c r="BS27" i="5" s="1"/>
  <c r="BT28" i="5" a="1"/>
  <c r="BT28" i="5" s="1"/>
  <c r="BS28" i="5" a="1"/>
  <c r="BS28" i="5" s="1"/>
  <c r="BT29" i="5" a="1"/>
  <c r="BT29" i="5" s="1"/>
  <c r="BS29" i="5" a="1"/>
  <c r="BS29" i="5" s="1"/>
  <c r="BT38" i="5" a="1"/>
  <c r="BT38" i="5" s="1"/>
  <c r="BS38" i="5" a="1"/>
  <c r="BS38" i="5" s="1"/>
  <c r="BS39" i="5" a="1"/>
  <c r="BS39" i="5" s="1"/>
  <c r="BT39" i="5" a="1"/>
  <c r="BT39" i="5" s="1"/>
  <c r="BS40" i="5" a="1"/>
  <c r="BS40" i="5" s="1"/>
  <c r="BT40" i="5" a="1"/>
  <c r="BT40" i="5" s="1"/>
  <c r="BS41" i="5" a="1"/>
  <c r="BS41" i="5" s="1"/>
  <c r="BT41" i="5" a="1"/>
  <c r="BT41" i="5" s="1"/>
  <c r="BT46" i="5" a="1"/>
  <c r="BT46" i="5" s="1"/>
  <c r="BS46" i="5" a="1"/>
  <c r="BS46" i="5" s="1"/>
  <c r="BT47" i="5" a="1"/>
  <c r="BT47" i="5" s="1"/>
  <c r="BS47" i="5" a="1"/>
  <c r="BS47" i="5" s="1"/>
  <c r="BS48" i="5" a="1"/>
  <c r="BS48" i="5" s="1"/>
  <c r="BT48" i="5" a="1"/>
  <c r="BT48" i="5" s="1"/>
  <c r="BT50" i="5" a="1"/>
  <c r="BT50" i="5" s="1"/>
  <c r="BS50" i="5" a="1"/>
  <c r="BS50" i="5" s="1"/>
  <c r="BT51" i="5" a="1"/>
  <c r="BT51" i="5" s="1"/>
  <c r="BS51" i="5" a="1"/>
  <c r="BS51" i="5" s="1"/>
  <c r="BS53" i="5" a="1"/>
  <c r="BS53" i="5" s="1"/>
  <c r="BT53" i="5" a="1"/>
  <c r="BT53" i="5" s="1"/>
  <c r="BS54" i="5" a="1"/>
  <c r="BS54" i="5" s="1"/>
  <c r="BT54" i="5" a="1"/>
  <c r="BT54" i="5" s="1"/>
  <c r="BS58" i="5" a="1"/>
  <c r="BS58" i="5" s="1"/>
  <c r="BT58" i="5" a="1"/>
  <c r="BT58" i="5" s="1"/>
  <c r="BS59" i="5" a="1"/>
  <c r="BS59" i="5" s="1"/>
  <c r="BT59" i="5" a="1"/>
  <c r="BT59" i="5" s="1"/>
  <c r="BT61" i="5" a="1"/>
  <c r="BT61" i="5" s="1"/>
  <c r="BS61" i="5" a="1"/>
  <c r="BS61" i="5" s="1"/>
  <c r="BT62" i="5" a="1"/>
  <c r="BT62" i="5" s="1"/>
  <c r="BS62" i="5" a="1"/>
  <c r="BS62" i="5" s="1"/>
  <c r="BT63" i="5" a="1"/>
  <c r="BT63" i="5" s="1"/>
  <c r="BS63" i="5" a="1"/>
  <c r="BS63" i="5" s="1"/>
  <c r="BT64" i="5" a="1"/>
  <c r="BT64" i="5" s="1"/>
  <c r="BS64" i="5" a="1"/>
  <c r="BS64" i="5" s="1"/>
  <c r="BS67" i="5" a="1"/>
  <c r="BS67" i="5" s="1"/>
  <c r="BT67" i="5" a="1"/>
  <c r="BT67" i="5" s="1"/>
  <c r="BS73" i="5" a="1"/>
  <c r="BS73" i="5" s="1"/>
  <c r="BT73" i="5" a="1"/>
  <c r="BT73" i="5" s="1"/>
  <c r="BS74" i="5" a="1"/>
  <c r="BS74" i="5" s="1"/>
  <c r="BT74" i="5" a="1"/>
  <c r="BT74" i="5" s="1"/>
  <c r="BS72" i="5" a="1"/>
  <c r="BS72" i="5" s="1"/>
  <c r="BT72" i="5" a="1"/>
  <c r="BT72" i="5" s="1"/>
  <c r="BT66" i="5" a="1"/>
  <c r="BT66" i="5" s="1"/>
  <c r="BU66" i="5" s="1"/>
  <c r="BS9" i="5" a="1"/>
  <c r="BS9" i="5" s="1"/>
  <c r="BU9" i="5" s="1"/>
  <c r="BT60" i="5" a="1"/>
  <c r="BT60" i="5" s="1"/>
  <c r="BU60" i="5" s="1"/>
  <c r="BT7" i="5" a="1"/>
  <c r="BT7" i="5" s="1"/>
  <c r="BU7" i="5" s="1"/>
  <c r="BS77" i="5" a="1"/>
  <c r="BS77" i="5" s="1"/>
  <c r="BU77" i="5" s="1"/>
  <c r="BT65" i="5" a="1"/>
  <c r="BT65" i="5" s="1"/>
  <c r="BU65" i="5" s="1"/>
  <c r="BT52" i="5" a="1"/>
  <c r="BT52" i="5" s="1"/>
  <c r="BU52" i="5" s="1"/>
  <c r="BT19" i="5" a="1"/>
  <c r="BT19" i="5" s="1"/>
  <c r="BU19" i="5" s="1"/>
  <c r="BT6" i="5" a="1"/>
  <c r="BT6" i="5" s="1"/>
  <c r="BU6" i="5" s="1"/>
  <c r="BS76" i="5" a="1"/>
  <c r="BS76" i="5" s="1"/>
  <c r="BU76" i="5" s="1"/>
  <c r="BT25" i="5" a="1"/>
  <c r="BT25" i="5" s="1"/>
  <c r="BU25" i="5" s="1"/>
  <c r="BT31" i="5" a="1"/>
  <c r="BT31" i="5" s="1"/>
  <c r="BU31" i="5" s="1"/>
  <c r="BT5" i="5" a="1"/>
  <c r="BT5" i="5" s="1"/>
  <c r="BU5" i="5" s="1"/>
  <c r="BS75" i="5" a="1"/>
  <c r="BS75" i="5" s="1"/>
  <c r="BU75" i="5" s="1"/>
  <c r="BT37" i="5" a="1"/>
  <c r="BT37" i="5" s="1"/>
  <c r="BU37" i="5" s="1"/>
  <c r="BT24" i="5" a="1"/>
  <c r="BT24" i="5" s="1"/>
  <c r="BU24" i="5" s="1"/>
  <c r="BT43" i="5" a="1"/>
  <c r="BT43" i="5" s="1"/>
  <c r="BU43" i="5" s="1"/>
  <c r="BT30" i="5" a="1"/>
  <c r="BT30" i="5" s="1"/>
  <c r="BU30" i="5" s="1"/>
  <c r="BT17" i="5" a="1"/>
  <c r="BT17" i="5" s="1"/>
  <c r="BU17" i="5" s="1"/>
  <c r="BT4" i="5" a="1"/>
  <c r="BT4" i="5" s="1"/>
  <c r="BU4" i="5" s="1"/>
  <c r="BT18" i="5" a="1"/>
  <c r="BT18" i="5" s="1"/>
  <c r="BU18" i="5" s="1"/>
  <c r="BT49" i="5" a="1"/>
  <c r="BT49" i="5" s="1"/>
  <c r="BU49" i="5" s="1"/>
  <c r="BT55" i="5" a="1"/>
  <c r="BT55" i="5" s="1"/>
  <c r="BU55" i="5" s="1"/>
  <c r="BT42" i="5" a="1"/>
  <c r="BT42" i="5" s="1"/>
  <c r="BU42" i="5" s="1"/>
  <c r="BT16" i="5" a="1"/>
  <c r="BT16" i="5" s="1"/>
  <c r="BU16" i="5" s="1"/>
  <c r="BS34" i="5" a="1"/>
  <c r="BS34" i="5" s="1"/>
  <c r="BU34" i="5" s="1"/>
  <c r="BS35" i="5" a="1"/>
  <c r="BS35" i="5" s="1"/>
  <c r="BU35" i="5" s="1"/>
  <c r="BS36" i="5" a="1"/>
  <c r="BS36" i="5" s="1"/>
  <c r="BU36" i="5" s="1"/>
  <c r="BS23" i="5" a="1"/>
  <c r="BS23" i="5" s="1"/>
  <c r="BU23" i="5" s="1"/>
  <c r="BS11" i="5" a="1"/>
  <c r="BS11" i="5" s="1"/>
  <c r="BU11" i="5" s="1"/>
  <c r="BS8" i="5" a="1"/>
  <c r="BS8" i="5" s="1"/>
  <c r="BU8" i="5" s="1"/>
  <c r="BS10" i="5" a="1"/>
  <c r="BS10" i="5" s="1"/>
  <c r="BU10" i="5" s="1"/>
  <c r="BS21" i="5" a="1"/>
  <c r="BS21" i="5" s="1"/>
  <c r="BU21" i="5" s="1"/>
  <c r="BS70" i="5" a="1"/>
  <c r="BS70" i="5" s="1"/>
  <c r="BU70" i="5" s="1"/>
  <c r="BS69" i="5" a="1"/>
  <c r="BS69" i="5" s="1"/>
  <c r="BU69" i="5" s="1"/>
  <c r="BS57" i="5" a="1"/>
  <c r="BS57" i="5" s="1"/>
  <c r="BU57" i="5" s="1"/>
  <c r="BS45" i="5" a="1"/>
  <c r="BS45" i="5" s="1"/>
  <c r="BU45" i="5" s="1"/>
  <c r="BS33" i="5" a="1"/>
  <c r="BS33" i="5" s="1"/>
  <c r="BU33" i="5" s="1"/>
  <c r="BS68" i="5" a="1"/>
  <c r="BS68" i="5" s="1"/>
  <c r="BU68" i="5" s="1"/>
  <c r="BS56" i="5" a="1"/>
  <c r="BS56" i="5" s="1"/>
  <c r="BU56" i="5" s="1"/>
  <c r="BS44" i="5" a="1"/>
  <c r="BS44" i="5" s="1"/>
  <c r="BU44" i="5" s="1"/>
  <c r="BS32" i="5" a="1"/>
  <c r="BS32" i="5" s="1"/>
  <c r="BU32" i="5" s="1"/>
  <c r="BS20" i="5" a="1"/>
  <c r="BS20" i="5" s="1"/>
  <c r="BU20" i="5" s="1"/>
  <c r="BS71" i="5" a="1"/>
  <c r="BS71" i="5" s="1"/>
  <c r="BU71" i="5" s="1"/>
  <c r="BO13" i="5" a="1"/>
  <c r="BO13" i="5" s="1"/>
  <c r="BN13" i="5" a="1"/>
  <c r="BN13" i="5" s="1"/>
  <c r="BN51" i="5" a="1"/>
  <c r="BN51" i="5" s="1"/>
  <c r="BP51" i="5" s="1"/>
  <c r="BO72" i="5" a="1"/>
  <c r="BO72" i="5" s="1"/>
  <c r="BP72" i="5" s="1"/>
  <c r="BO37" i="5" a="1"/>
  <c r="BO37" i="5" s="1"/>
  <c r="BP37" i="5" s="1"/>
  <c r="BO36" i="5" a="1"/>
  <c r="BO36" i="5" s="1"/>
  <c r="BP36" i="5" s="1"/>
  <c r="BN49" i="5" a="1"/>
  <c r="BN49" i="5" s="1"/>
  <c r="BO49" i="5" a="1"/>
  <c r="BO49" i="5" s="1"/>
  <c r="BO74" i="5" a="1"/>
  <c r="BO74" i="5" s="1"/>
  <c r="BP74" i="5" s="1"/>
  <c r="BO50" i="5" a="1"/>
  <c r="BO50" i="5" s="1"/>
  <c r="BP50" i="5" s="1"/>
  <c r="BO73" i="5" a="1"/>
  <c r="BO73" i="5" s="1"/>
  <c r="BP73" i="5" s="1"/>
  <c r="BO44" i="5" a="1"/>
  <c r="BO44" i="5" s="1"/>
  <c r="BP44" i="5" s="1"/>
  <c r="BO11" i="5" a="1"/>
  <c r="BO11" i="5" s="1"/>
  <c r="BP11" i="5" s="1"/>
  <c r="BO38" i="5" a="1"/>
  <c r="BO38" i="5" s="1"/>
  <c r="BP38" i="5" s="1"/>
  <c r="BO9" i="5" a="1"/>
  <c r="BO9" i="5" s="1"/>
  <c r="BP9" i="5" s="1"/>
  <c r="BN56" i="5" a="1"/>
  <c r="BN56" i="5" s="1"/>
  <c r="BP56" i="5" s="1"/>
  <c r="BO68" i="5" a="1"/>
  <c r="BO68" i="5" s="1"/>
  <c r="BP68" i="5" s="1"/>
  <c r="BO62" i="5" a="1"/>
  <c r="BO62" i="5" s="1"/>
  <c r="BP62" i="5" s="1"/>
  <c r="BO32" i="5" a="1"/>
  <c r="BO32" i="5" s="1"/>
  <c r="BP32" i="5" s="1"/>
  <c r="BN41" i="5" a="1"/>
  <c r="BN41" i="5" s="1"/>
  <c r="BP41" i="5" s="1"/>
  <c r="BO26" i="5" a="1"/>
  <c r="BO26" i="5" s="1"/>
  <c r="BP26" i="5" s="1"/>
  <c r="BO20" i="5" a="1"/>
  <c r="BO20" i="5" s="1"/>
  <c r="BP20" i="5" s="1"/>
  <c r="BN61" i="5" a="1"/>
  <c r="BN61" i="5" s="1"/>
  <c r="BO61" i="5" a="1"/>
  <c r="BO61" i="5" s="1"/>
  <c r="BN25" i="5" a="1"/>
  <c r="BN25" i="5" s="1"/>
  <c r="BO25" i="5" a="1"/>
  <c r="BO25" i="5" s="1"/>
  <c r="BN60" i="5" a="1"/>
  <c r="BN60" i="5" s="1"/>
  <c r="BO60" i="5" a="1"/>
  <c r="BO60" i="5" s="1"/>
  <c r="BN48" i="5" a="1"/>
  <c r="BN48" i="5" s="1"/>
  <c r="BO48" i="5" a="1"/>
  <c r="BO48" i="5" s="1"/>
  <c r="BN59" i="5" a="1"/>
  <c r="BN59" i="5" s="1"/>
  <c r="BO59" i="5" a="1"/>
  <c r="BO59" i="5" s="1"/>
  <c r="BN30" i="5" a="1"/>
  <c r="BN30" i="5" s="1"/>
  <c r="BP30" i="5" s="1"/>
  <c r="BO7" i="5" a="1"/>
  <c r="BO7" i="5" s="1"/>
  <c r="BP7" i="5" s="1"/>
  <c r="T7" i="5" s="1"/>
  <c r="BN55" i="5" a="1"/>
  <c r="BN55" i="5" s="1"/>
  <c r="BP55" i="5" s="1"/>
  <c r="BO43" i="5" a="1"/>
  <c r="BO43" i="5" s="1"/>
  <c r="BP43" i="5" s="1"/>
  <c r="BN29" i="5" a="1"/>
  <c r="BN29" i="5" s="1"/>
  <c r="BP29" i="5" s="1"/>
  <c r="BO12" i="5" a="1"/>
  <c r="BO12" i="5" s="1"/>
  <c r="BP12" i="5" s="1"/>
  <c r="BN28" i="5" a="1"/>
  <c r="BN28" i="5" s="1"/>
  <c r="BP28" i="5" s="1"/>
  <c r="BN27" i="5" a="1"/>
  <c r="BN27" i="5" s="1"/>
  <c r="BP27" i="5" s="1"/>
  <c r="BO53" i="5" a="1"/>
  <c r="BO53" i="5" s="1"/>
  <c r="BP53" i="5" s="1"/>
  <c r="BO47" i="5" a="1"/>
  <c r="BO47" i="5" s="1"/>
  <c r="BP47" i="5" s="1"/>
  <c r="BO35" i="5" a="1"/>
  <c r="BO35" i="5" s="1"/>
  <c r="BP35" i="5" s="1"/>
  <c r="BO23" i="5" a="1"/>
  <c r="BO23" i="5" s="1"/>
  <c r="BP23" i="5" s="1"/>
  <c r="BO17" i="5" a="1"/>
  <c r="BO17" i="5" s="1"/>
  <c r="BP17" i="5" s="1"/>
  <c r="BO31" i="5" a="1"/>
  <c r="BO31" i="5" s="1"/>
  <c r="BP31" i="5" s="1"/>
  <c r="BO19" i="5" a="1"/>
  <c r="BO19" i="5" s="1"/>
  <c r="BP19" i="5" s="1"/>
  <c r="BO67" i="5" a="1"/>
  <c r="BO67" i="5" s="1"/>
  <c r="BP67" i="5" s="1"/>
  <c r="BO6" i="5" a="1"/>
  <c r="BO6" i="5" s="1"/>
  <c r="BP6" i="5" s="1"/>
  <c r="T6" i="5" s="1"/>
  <c r="BN76" i="5" a="1"/>
  <c r="BN76" i="5" s="1"/>
  <c r="BP76" i="5" s="1"/>
  <c r="BO42" i="5" a="1"/>
  <c r="BO42" i="5" s="1"/>
  <c r="BP42" i="5" s="1"/>
  <c r="BO24" i="5" a="1"/>
  <c r="BO24" i="5" s="1"/>
  <c r="BP24" i="5" s="1"/>
  <c r="BO18" i="5" a="1"/>
  <c r="BO18" i="5" s="1"/>
  <c r="BP18" i="5" s="1"/>
  <c r="BN75" i="5" a="1"/>
  <c r="BN75" i="5" s="1"/>
  <c r="BP75" i="5" s="1"/>
  <c r="BN3" i="5" a="1"/>
  <c r="BN3" i="5" s="1"/>
  <c r="BP3" i="5" s="1"/>
  <c r="BO66" i="5" a="1"/>
  <c r="BO66" i="5" s="1"/>
  <c r="BP66" i="5" s="1"/>
  <c r="BO54" i="5" a="1"/>
  <c r="BO54" i="5" s="1"/>
  <c r="BP54" i="5" s="1"/>
  <c r="BO5" i="5" a="1"/>
  <c r="BO5" i="5" s="1"/>
  <c r="BP5" i="5" s="1"/>
  <c r="BO77" i="5" a="1"/>
  <c r="BO77" i="5" s="1"/>
  <c r="BP77" i="5" s="1"/>
  <c r="BO71" i="5" a="1"/>
  <c r="BO71" i="5" s="1"/>
  <c r="BP71" i="5" s="1"/>
  <c r="BO65" i="5" a="1"/>
  <c r="BO65" i="5" s="1"/>
  <c r="BP65" i="5" s="1"/>
  <c r="BO16" i="5" a="1"/>
  <c r="BO16" i="5" s="1"/>
  <c r="BP16" i="5" s="1"/>
  <c r="BO10" i="5" a="1"/>
  <c r="BO10" i="5" s="1"/>
  <c r="BP10" i="5" s="1"/>
  <c r="BO4" i="5" a="1"/>
  <c r="BO4" i="5" s="1"/>
  <c r="BP4" i="5" s="1"/>
  <c r="BN69" i="5" a="1"/>
  <c r="BN69" i="5" s="1"/>
  <c r="BP69" i="5" s="1"/>
  <c r="BN15" i="5" a="1"/>
  <c r="BN15" i="5" s="1"/>
  <c r="BP15" i="5" s="1"/>
  <c r="BO52" i="5" a="1"/>
  <c r="BO52" i="5" s="1"/>
  <c r="BP52" i="5" s="1"/>
  <c r="BO46" i="5" a="1"/>
  <c r="BO46" i="5" s="1"/>
  <c r="BP46" i="5" s="1"/>
  <c r="BO40" i="5" a="1"/>
  <c r="BO40" i="5" s="1"/>
  <c r="BP40" i="5" s="1"/>
  <c r="BO34" i="5" a="1"/>
  <c r="BO34" i="5" s="1"/>
  <c r="BP34" i="5" s="1"/>
  <c r="BO22" i="5" a="1"/>
  <c r="BO22" i="5" s="1"/>
  <c r="BP22" i="5" s="1"/>
  <c r="BN63" i="5" a="1"/>
  <c r="BN63" i="5" s="1"/>
  <c r="BP63" i="5" s="1"/>
  <c r="BO70" i="5" a="1"/>
  <c r="BO70" i="5" s="1"/>
  <c r="BP70" i="5" s="1"/>
  <c r="BO64" i="5" a="1"/>
  <c r="BO64" i="5" s="1"/>
  <c r="BP64" i="5" s="1"/>
  <c r="BO58" i="5" a="1"/>
  <c r="BO58" i="5" s="1"/>
  <c r="BP58" i="5" s="1"/>
  <c r="BN14" i="5" a="1"/>
  <c r="BN14" i="5" s="1"/>
  <c r="BP14" i="5" s="1"/>
  <c r="BO45" i="5" a="1"/>
  <c r="BO45" i="5" s="1"/>
  <c r="BP45" i="5" s="1"/>
  <c r="BO39" i="5" a="1"/>
  <c r="BO39" i="5" s="1"/>
  <c r="BP39" i="5" s="1"/>
  <c r="BO33" i="5" a="1"/>
  <c r="BO33" i="5" s="1"/>
  <c r="BP33" i="5" s="1"/>
  <c r="BO21" i="5" a="1"/>
  <c r="BO21" i="5" s="1"/>
  <c r="BP21" i="5" s="1"/>
  <c r="BO57" i="5" a="1"/>
  <c r="BO57" i="5" s="1"/>
  <c r="BP57" i="5" s="1"/>
  <c r="BO8" i="5" a="1"/>
  <c r="BO8" i="5" s="1"/>
  <c r="BP8" i="5" s="1"/>
  <c r="BO2" i="5" a="1"/>
  <c r="BO2" i="5" s="1"/>
  <c r="BP2" i="5" s="1"/>
  <c r="A1" i="2" a="1"/>
  <c r="E5" i="1" a="1"/>
  <c r="A1" i="1" a="1"/>
  <c r="A1" i="1" s="1"/>
  <c r="A2" i="1" s="1"/>
  <c r="A5" i="1" s="1"/>
  <c r="AE2" i="2" a="1"/>
  <c r="T8" i="5" l="1"/>
  <c r="T5" i="5"/>
  <c r="AE2" i="2"/>
  <c r="BP107" i="5"/>
  <c r="BP94" i="5"/>
  <c r="BU120" i="5"/>
  <c r="BU15" i="5"/>
  <c r="BP96" i="5"/>
  <c r="BU74" i="5"/>
  <c r="BU61" i="5"/>
  <c r="BU50" i="5"/>
  <c r="BU39" i="5"/>
  <c r="BU2" i="5"/>
  <c r="BU101" i="5"/>
  <c r="BP120" i="5"/>
  <c r="BP129" i="5"/>
  <c r="BU97" i="5"/>
  <c r="BU113" i="5"/>
  <c r="BU84" i="5"/>
  <c r="BP125" i="5"/>
  <c r="BP108" i="5"/>
  <c r="BP92" i="5"/>
  <c r="BP110" i="5"/>
  <c r="BU131" i="5"/>
  <c r="BP105" i="5"/>
  <c r="BP79" i="5"/>
  <c r="BU128" i="5"/>
  <c r="BU100" i="5"/>
  <c r="BU119" i="5"/>
  <c r="BU127" i="5"/>
  <c r="BU62" i="5"/>
  <c r="BU51" i="5"/>
  <c r="BU26" i="5"/>
  <c r="BU103" i="5"/>
  <c r="BP85" i="5"/>
  <c r="BU98" i="5"/>
  <c r="BU92" i="5"/>
  <c r="BU86" i="5"/>
  <c r="BU115" i="5"/>
  <c r="BU112" i="5"/>
  <c r="BP83" i="5"/>
  <c r="BU104" i="5"/>
  <c r="BP103" i="5"/>
  <c r="BP115" i="5"/>
  <c r="BP127" i="5"/>
  <c r="BU102" i="5"/>
  <c r="BU96" i="5"/>
  <c r="BU90" i="5"/>
  <c r="BP91" i="5"/>
  <c r="BU116" i="5"/>
  <c r="BU85" i="5"/>
  <c r="BU95" i="5"/>
  <c r="BU89" i="5"/>
  <c r="BU64" i="5"/>
  <c r="BU46" i="5"/>
  <c r="BU94" i="5"/>
  <c r="BU53" i="5"/>
  <c r="BU41" i="5"/>
  <c r="BU27" i="5"/>
  <c r="BU93" i="5"/>
  <c r="BU3" i="5"/>
  <c r="BU29" i="5"/>
  <c r="BU14" i="5"/>
  <c r="BU38" i="5"/>
  <c r="BU40" i="5"/>
  <c r="BU87" i="5"/>
  <c r="BU88" i="5"/>
  <c r="BU91" i="5"/>
  <c r="BP80" i="5"/>
  <c r="BP81" i="5"/>
  <c r="BP82" i="5"/>
  <c r="BP84" i="5"/>
  <c r="BU12" i="5"/>
  <c r="BU22" i="5"/>
  <c r="BU28" i="5"/>
  <c r="BU73" i="5"/>
  <c r="BU47" i="5"/>
  <c r="BU48" i="5"/>
  <c r="BU63" i="5"/>
  <c r="BU54" i="5"/>
  <c r="BU67" i="5"/>
  <c r="BU59" i="5"/>
  <c r="BU72" i="5"/>
  <c r="BU13" i="5"/>
  <c r="BU58" i="5"/>
  <c r="BP13" i="5"/>
  <c r="BP25" i="5"/>
  <c r="BP49" i="5"/>
  <c r="BP60" i="5"/>
  <c r="BP61" i="5"/>
  <c r="BP59" i="5"/>
  <c r="BP48" i="5"/>
  <c r="D3" i="5"/>
  <c r="O3" i="5"/>
  <c r="E3" i="5"/>
  <c r="R3" i="5"/>
  <c r="A1" i="2"/>
  <c r="E5" i="1"/>
  <c r="AE18" i="3" a="1"/>
  <c r="J2" i="2" a="1"/>
  <c r="AE11" i="3" a="1"/>
  <c r="AE12" i="3" a="1"/>
  <c r="AE3" i="3" a="1"/>
  <c r="C2" i="2" a="1"/>
  <c r="I2" i="2" a="1"/>
  <c r="F2" i="2" a="1"/>
  <c r="AE21" i="3" a="1"/>
  <c r="AE20" i="3" a="1"/>
  <c r="B2" i="2" a="1"/>
  <c r="S2" i="2" a="1"/>
  <c r="P2" i="2" a="1"/>
  <c r="AE17" i="3" a="1"/>
  <c r="AE2" i="3" a="1"/>
  <c r="AE4" i="3" a="1"/>
  <c r="AC2" i="2" a="1"/>
  <c r="Y2" i="2" a="1"/>
  <c r="AE15" i="3" a="1"/>
  <c r="Z2" i="2" a="1"/>
  <c r="X2" i="2" a="1"/>
  <c r="AE7" i="3" a="1"/>
  <c r="M2" i="2" a="1"/>
  <c r="AE8" i="3" a="1"/>
  <c r="AE6" i="3" a="1"/>
  <c r="AD2" i="2" a="1"/>
  <c r="AB2" i="2" a="1"/>
  <c r="AA2" i="2" a="1"/>
  <c r="W2" i="2" a="1"/>
  <c r="L2" i="2" a="1"/>
  <c r="V2" i="2" a="1"/>
  <c r="AE5" i="3" a="1"/>
  <c r="U2" i="2" a="1"/>
  <c r="G2" i="2" a="1"/>
  <c r="AE16" i="3" a="1"/>
  <c r="A2" i="2" a="1"/>
  <c r="H2" i="2" a="1"/>
  <c r="AE10" i="3" a="1"/>
  <c r="AE14" i="3" a="1"/>
  <c r="AE22" i="3" a="1"/>
  <c r="AE13" i="3" a="1"/>
  <c r="Q2" i="2" a="1"/>
  <c r="AE19" i="3" a="1"/>
  <c r="K2" i="2" a="1"/>
  <c r="N2" i="2" a="1"/>
  <c r="AE9" i="3" a="1"/>
  <c r="AE22" i="3" l="1"/>
  <c r="AE18" i="3"/>
  <c r="AE20" i="3"/>
  <c r="AE17" i="3"/>
  <c r="AE4" i="3"/>
  <c r="AE5" i="3"/>
  <c r="AE12" i="3"/>
  <c r="AE6" i="3"/>
  <c r="AE13" i="3"/>
  <c r="AE16" i="3"/>
  <c r="AE3" i="3"/>
  <c r="AE8" i="3"/>
  <c r="AE19" i="3"/>
  <c r="AE14" i="3"/>
  <c r="AE9" i="3"/>
  <c r="AE21" i="3"/>
  <c r="AE15" i="3"/>
  <c r="AE11" i="3"/>
  <c r="AE7" i="3"/>
  <c r="AE10" i="3"/>
  <c r="AE2" i="3"/>
  <c r="Y2" i="2"/>
  <c r="P2" i="2"/>
  <c r="V2" i="2"/>
  <c r="K2" i="2"/>
  <c r="H2" i="2"/>
  <c r="AB2" i="2"/>
  <c r="C2" i="2"/>
  <c r="W2" i="2"/>
  <c r="B2" i="2"/>
  <c r="F2" i="2"/>
  <c r="N2" i="2"/>
  <c r="J2" i="2"/>
  <c r="S2" i="2"/>
  <c r="U2" i="2"/>
  <c r="AC2" i="2"/>
  <c r="L2" i="2"/>
  <c r="Z2" i="2"/>
  <c r="AA2" i="2"/>
  <c r="M2" i="2"/>
  <c r="Q2" i="2"/>
  <c r="A2" i="2"/>
  <c r="I2" i="2"/>
  <c r="X2" i="2"/>
  <c r="AD2" i="2"/>
  <c r="G2" i="2"/>
  <c r="E4" i="5"/>
  <c r="R4" i="5"/>
  <c r="O4" i="5"/>
  <c r="D4" i="5"/>
  <c r="T2" i="2" a="1"/>
  <c r="T2" i="2" l="1"/>
  <c r="O5" i="5"/>
  <c r="E5" i="5"/>
  <c r="R5" i="5"/>
  <c r="D5" i="5"/>
  <c r="R6" i="5" l="1"/>
  <c r="O6" i="5"/>
  <c r="D6" i="5"/>
  <c r="E6" i="5"/>
  <c r="R7" i="5" l="1"/>
  <c r="O7" i="5"/>
  <c r="E7" i="5"/>
  <c r="D7" i="5"/>
  <c r="D8" i="5" l="1"/>
  <c r="R8" i="5"/>
  <c r="O8" i="5"/>
  <c r="E8" i="5"/>
  <c r="E9" i="5" l="1"/>
  <c r="D9" i="5"/>
  <c r="R9" i="5"/>
  <c r="O9" i="5"/>
  <c r="E10" i="5" l="1"/>
  <c r="D10" i="5"/>
  <c r="O10" i="5"/>
  <c r="R10" i="5"/>
  <c r="E11" i="5" l="1"/>
  <c r="R11" i="5"/>
  <c r="D11" i="5"/>
  <c r="O11" i="5"/>
  <c r="D12" i="5" l="1"/>
  <c r="R12" i="5"/>
  <c r="O12" i="5"/>
  <c r="E12" i="5"/>
  <c r="E13" i="5" l="1"/>
  <c r="R13" i="5"/>
  <c r="D13" i="5"/>
  <c r="O13" i="5"/>
  <c r="Y75" i="3" l="1" a="1"/>
  <c r="P186" i="3" a="1"/>
  <c r="R106" i="3" a="1"/>
  <c r="V135" i="3" a="1"/>
  <c r="N55" i="3" a="1"/>
  <c r="N103" i="3" a="1"/>
  <c r="M215" i="3" a="1"/>
  <c r="Q227" i="3" a="1"/>
  <c r="O191" i="3" a="1"/>
  <c r="J120" i="3" a="1"/>
  <c r="P142" i="3" a="1"/>
  <c r="X183" i="3" a="1"/>
  <c r="AC185" i="3" a="1"/>
  <c r="G101" i="3" a="1"/>
  <c r="J163" i="3" a="1"/>
  <c r="T16" i="3" a="1"/>
  <c r="Z237" i="3" a="1"/>
  <c r="G234" i="3" a="1"/>
  <c r="F48" i="3" a="1"/>
  <c r="R173" i="3" a="1"/>
  <c r="N142" i="3" a="1"/>
  <c r="I180" i="3" a="1"/>
  <c r="U48" i="3" a="1"/>
  <c r="Y68" i="3" a="1"/>
  <c r="L37" i="3" a="1"/>
  <c r="Q189" i="3" a="1"/>
  <c r="O218" i="3" a="1"/>
  <c r="T168" i="3" a="1"/>
  <c r="M164" i="3" a="1"/>
  <c r="J162" i="3" a="1"/>
  <c r="A216" i="3" a="1"/>
  <c r="B122" i="3" a="1"/>
  <c r="Q87" i="3" a="1"/>
  <c r="M47" i="3" a="1"/>
  <c r="Y137" i="3" a="1"/>
  <c r="U199" i="3" a="1"/>
  <c r="Q210" i="3" a="1"/>
  <c r="V139" i="3" a="1"/>
  <c r="AC76" i="3" a="1"/>
  <c r="AD110" i="3" a="1"/>
  <c r="W233" i="3" a="1"/>
  <c r="P252" i="3" a="1"/>
  <c r="Q150" i="3" a="1"/>
  <c r="AB87" i="3" a="1"/>
  <c r="C163" i="3" a="1"/>
  <c r="S55" i="3" a="1"/>
  <c r="F111" i="3" a="1"/>
  <c r="S140" i="3" a="1"/>
  <c r="W145" i="3" a="1"/>
  <c r="AC15" i="3" a="1"/>
  <c r="AB189" i="3" a="1"/>
  <c r="W224" i="3" a="1"/>
  <c r="P27" i="3" a="1"/>
  <c r="M87" i="3" a="1"/>
  <c r="G195" i="3" a="1"/>
  <c r="N234" i="3" a="1"/>
  <c r="AD116" i="3" a="1"/>
  <c r="AC183" i="3" a="1"/>
  <c r="C84" i="3" a="1"/>
  <c r="AD194" i="3" a="1"/>
  <c r="G219" i="3" a="1"/>
  <c r="Z220" i="3" a="1"/>
  <c r="U189" i="3" a="1"/>
  <c r="G175" i="3" a="1"/>
  <c r="Q145" i="3" a="1"/>
  <c r="G244" i="3" a="1"/>
  <c r="AD114" i="3" a="1"/>
  <c r="A211" i="3" a="1"/>
  <c r="C135" i="3" a="1"/>
  <c r="AD195" i="3" a="1"/>
  <c r="Q60" i="3" a="1"/>
  <c r="Q6" i="3" a="1"/>
  <c r="V119" i="3" a="1"/>
  <c r="P254" i="3" a="1"/>
  <c r="K242" i="3" a="1"/>
  <c r="AD180" i="3" a="1"/>
  <c r="N216" i="3" a="1"/>
  <c r="Y182" i="3" a="1"/>
  <c r="F194" i="3" a="1"/>
  <c r="B26" i="3" a="1"/>
  <c r="O163" i="3" a="1"/>
  <c r="M211" i="3" a="1"/>
  <c r="S144" i="3" a="1"/>
  <c r="O252" i="3" a="1"/>
  <c r="F25" i="3" a="1"/>
  <c r="O157" i="3" a="1"/>
  <c r="AB78" i="3" a="1"/>
  <c r="H227" i="3" a="1"/>
  <c r="C186" i="3" a="1"/>
  <c r="AC122" i="3" a="1"/>
  <c r="B234" i="3" a="1"/>
  <c r="AC97" i="3" a="1"/>
  <c r="A243" i="3" a="1"/>
  <c r="AB198" i="3" a="1"/>
  <c r="Q231" i="3" a="1"/>
  <c r="Z29" i="3" a="1"/>
  <c r="E158" i="3" a="1"/>
  <c r="I14" i="3" a="1"/>
  <c r="Z126" i="3" a="1"/>
  <c r="Z162" i="3" a="1"/>
  <c r="S208" i="3" a="1"/>
  <c r="A41" i="3" a="1"/>
  <c r="D189" i="3" a="1"/>
  <c r="Y191" i="3" a="1"/>
  <c r="AA70" i="3" a="1"/>
  <c r="AA92" i="3" a="1"/>
  <c r="P253" i="3" a="1"/>
  <c r="AA97" i="3" a="1"/>
  <c r="E76" i="3" a="1"/>
  <c r="L173" i="3" a="1"/>
  <c r="S155" i="3" a="1"/>
  <c r="AA163" i="3" a="1"/>
  <c r="AC215" i="3" a="1"/>
  <c r="J63" i="3" a="1"/>
  <c r="O58" i="3" a="1"/>
  <c r="Z146" i="3" a="1"/>
  <c r="K37" i="3" a="1"/>
  <c r="Z167" i="3" a="1"/>
  <c r="V5" i="3" a="1"/>
  <c r="A20" i="3" a="1"/>
  <c r="AB170" i="3" a="1"/>
  <c r="N184" i="3" a="1"/>
  <c r="W176" i="3" a="1"/>
  <c r="A195" i="3" a="1"/>
  <c r="D248" i="3" a="1"/>
  <c r="V71" i="3" a="1"/>
  <c r="R78" i="3" a="1"/>
  <c r="K126" i="3" a="1"/>
  <c r="AC119" i="3" a="1"/>
  <c r="K192" i="3" a="1"/>
  <c r="T129" i="3" a="1"/>
  <c r="V235" i="3" a="1"/>
  <c r="D62" i="3" a="1"/>
  <c r="V17" i="3" a="1"/>
  <c r="U43" i="3" a="1"/>
  <c r="O150" i="3" a="1"/>
  <c r="S159" i="3" a="1"/>
  <c r="C149" i="3" a="1"/>
  <c r="AD57" i="3" a="1"/>
  <c r="L158" i="3" a="1"/>
  <c r="J31" i="3" a="1"/>
  <c r="L229" i="3" a="1"/>
  <c r="M161" i="3" a="1"/>
  <c r="Z173" i="3" a="1"/>
  <c r="N105" i="3" a="1"/>
  <c r="C218" i="3" a="1"/>
  <c r="E95" i="3" a="1"/>
  <c r="K102" i="3" a="1"/>
  <c r="N237" i="3" a="1"/>
  <c r="O65" i="3" a="1"/>
  <c r="W138" i="3" a="1"/>
  <c r="L206" i="3" a="1"/>
  <c r="H150" i="3" a="1"/>
  <c r="W169" i="3" a="1"/>
  <c r="B103" i="3" a="1"/>
  <c r="F135" i="3" a="1"/>
  <c r="AA225" i="3" a="1"/>
  <c r="F36" i="3" a="1"/>
  <c r="K125" i="3" a="1"/>
  <c r="AC52" i="3" a="1"/>
  <c r="Y93" i="3" a="1"/>
  <c r="J4" i="3" a="1"/>
  <c r="V137" i="3" a="1"/>
  <c r="X214" i="3" a="1"/>
  <c r="AC67" i="3" a="1"/>
  <c r="AA155" i="3" a="1"/>
  <c r="Z60" i="3" a="1"/>
  <c r="P80" i="3" a="1"/>
  <c r="E143" i="3" a="1"/>
  <c r="B19" i="3" a="1"/>
  <c r="I184" i="3" a="1"/>
  <c r="J211" i="3" a="1"/>
  <c r="W204" i="3" a="1"/>
  <c r="M241" i="3" a="1"/>
  <c r="T40" i="3" a="1"/>
  <c r="H146" i="3" a="1"/>
  <c r="N96" i="3" a="1"/>
  <c r="U243" i="3" a="1"/>
  <c r="W178" i="3" a="1"/>
  <c r="H199" i="3" a="1"/>
  <c r="AB178" i="3" a="1"/>
  <c r="R222" i="3" a="1"/>
  <c r="Y23" i="3" a="1"/>
  <c r="M206" i="3" a="1"/>
  <c r="AC240" i="3" a="1"/>
  <c r="X43" i="3" a="1"/>
  <c r="R33" i="3" a="1"/>
  <c r="R171" i="3" a="1"/>
  <c r="K32" i="3" a="1"/>
  <c r="Q14" i="3" a="1"/>
  <c r="I141" i="3" a="1"/>
  <c r="J180" i="3" a="1"/>
  <c r="Y245" i="3" a="1"/>
  <c r="K28" i="3" a="1"/>
  <c r="U185" i="3" a="1"/>
  <c r="E142" i="3" a="1"/>
  <c r="G36" i="3" a="1"/>
  <c r="Y179" i="3" a="1"/>
  <c r="V63" i="3" a="1"/>
  <c r="N183" i="3" a="1"/>
  <c r="S10" i="3" a="1"/>
  <c r="S162" i="3" a="1"/>
  <c r="P135" i="3" a="1"/>
  <c r="O208" i="3" a="1"/>
  <c r="P23" i="3" a="1"/>
  <c r="L75" i="3" a="1"/>
  <c r="AD227" i="3" a="1"/>
  <c r="R188" i="3" a="1"/>
  <c r="D225" i="3" a="1"/>
  <c r="X131" i="3" a="1"/>
  <c r="P143" i="3" a="1"/>
  <c r="Z247" i="3" a="1"/>
  <c r="A73" i="3" a="1"/>
  <c r="H156" i="3" a="1"/>
  <c r="AC50" i="3" a="1"/>
  <c r="Z224" i="3" a="1"/>
  <c r="AC210" i="3" a="1"/>
  <c r="L169" i="3" a="1"/>
  <c r="M5" i="3" a="1"/>
  <c r="AC174" i="3" a="1"/>
  <c r="Y202" i="3" a="1"/>
  <c r="AC79" i="3" a="1"/>
  <c r="I22" i="3" a="1"/>
  <c r="D170" i="3" a="1"/>
  <c r="M193" i="3" a="1"/>
  <c r="A157" i="3" a="1"/>
  <c r="K244" i="3" a="1"/>
  <c r="W249" i="3" a="1"/>
  <c r="R231" i="3" a="1"/>
  <c r="C248" i="3" a="1"/>
  <c r="W20" i="3" a="1"/>
  <c r="O55" i="3" a="1"/>
  <c r="A77" i="3" a="1"/>
  <c r="U82" i="3" a="1"/>
  <c r="AC212" i="3" a="1"/>
  <c r="AB115" i="3" a="1"/>
  <c r="C182" i="3" a="1"/>
  <c r="Y118" i="3" a="1"/>
  <c r="A110" i="3" a="1"/>
  <c r="J159" i="3" a="1"/>
  <c r="Z153" i="3" a="1"/>
  <c r="Y235" i="3" a="1"/>
  <c r="P147" i="3" a="1"/>
  <c r="C81" i="3" a="1"/>
  <c r="Z31" i="3" a="1"/>
  <c r="V152" i="3" a="1"/>
  <c r="AA51" i="3" a="1"/>
  <c r="AB79" i="3" a="1"/>
  <c r="X169" i="3" a="1"/>
  <c r="B88" i="3" a="1"/>
  <c r="AA4" i="3" a="1"/>
  <c r="K145" i="3" a="1"/>
  <c r="S91" i="3" a="1"/>
  <c r="M78" i="3" a="1"/>
  <c r="P170" i="3" a="1"/>
  <c r="Q226" i="3" a="1"/>
  <c r="I158" i="3" a="1"/>
  <c r="C75" i="3" a="1"/>
  <c r="S157" i="3" a="1"/>
  <c r="AD141" i="3" a="1"/>
  <c r="Y99" i="3" a="1"/>
  <c r="M142" i="3" a="1"/>
  <c r="E57" i="3" a="1"/>
  <c r="Z170" i="3" a="1"/>
  <c r="L221" i="3" a="1"/>
  <c r="E177" i="3" a="1"/>
  <c r="AD59" i="3" a="1"/>
  <c r="M212" i="3" a="1"/>
  <c r="T178" i="3" a="1"/>
  <c r="S243" i="3" a="1"/>
  <c r="K48" i="3" a="1"/>
  <c r="C194" i="3" a="1"/>
  <c r="AA151" i="3" a="1"/>
  <c r="P228" i="3" a="1"/>
  <c r="AD47" i="3" a="1"/>
  <c r="F179" i="3" a="1"/>
  <c r="B107" i="3" a="1"/>
  <c r="X6" i="3" a="1"/>
  <c r="W180" i="3" a="1"/>
  <c r="Z156" i="3" a="1"/>
  <c r="S18" i="3" a="1"/>
  <c r="G220" i="3" a="1"/>
  <c r="Z90" i="3" a="1"/>
  <c r="R74" i="3" a="1"/>
  <c r="V160" i="3" a="1"/>
  <c r="N93" i="3" a="1"/>
  <c r="Y25" i="3" a="1"/>
  <c r="Z56" i="3" a="1"/>
  <c r="X145" i="3" a="1"/>
  <c r="X151" i="3" a="1"/>
  <c r="W160" i="3" a="1"/>
  <c r="T149" i="3" a="1"/>
  <c r="H2" i="3" a="1"/>
  <c r="G48" i="3" a="1"/>
  <c r="G128" i="3" a="1"/>
  <c r="H74" i="3" a="1"/>
  <c r="U230" i="3" a="1"/>
  <c r="AC194" i="3" a="1"/>
  <c r="P25" i="3" a="1"/>
  <c r="I182" i="3" a="1"/>
  <c r="X144" i="3" a="1"/>
  <c r="AA174" i="3" a="1"/>
  <c r="H65" i="3" a="1"/>
  <c r="AA48" i="3" a="1"/>
  <c r="G114" i="3" a="1"/>
  <c r="S253" i="3" a="1"/>
  <c r="AB212" i="3" a="1"/>
  <c r="I117" i="3" a="1"/>
  <c r="I143" i="3" a="1"/>
  <c r="U236" i="3" a="1"/>
  <c r="X149" i="3" a="1"/>
  <c r="T146" i="3" a="1"/>
  <c r="O225" i="3" a="1"/>
  <c r="N182" i="3" a="1"/>
  <c r="S19" i="3" a="1"/>
  <c r="H240" i="3" a="1"/>
  <c r="AA177" i="3" a="1"/>
  <c r="W35" i="3" a="1"/>
  <c r="V10" i="3" a="1"/>
  <c r="Y60" i="3" a="1"/>
  <c r="K185" i="3" a="1"/>
  <c r="AB57" i="3" a="1"/>
  <c r="C151" i="3" a="1"/>
  <c r="O206" i="3" a="1"/>
  <c r="A207" i="3" a="1"/>
  <c r="E31" i="3" a="1"/>
  <c r="H81" i="3" a="1"/>
  <c r="F123" i="3" a="1"/>
  <c r="Z138" i="3" a="1"/>
  <c r="G30" i="3" a="1"/>
  <c r="O149" i="3" a="1"/>
  <c r="U206" i="3" a="1"/>
  <c r="A49" i="3" a="1"/>
  <c r="I238" i="3" a="1"/>
  <c r="AB197" i="3" a="1"/>
  <c r="AA9" i="3" a="1"/>
  <c r="G126" i="3" a="1"/>
  <c r="K15" i="3" a="1"/>
  <c r="I7" i="3" a="1"/>
  <c r="T128" i="3" a="1"/>
  <c r="Z57" i="3" a="1"/>
  <c r="AB127" i="3" a="1"/>
  <c r="H126" i="3" a="1"/>
  <c r="C158" i="3" a="1"/>
  <c r="E154" i="3" a="1"/>
  <c r="H223" i="3" a="1"/>
  <c r="L213" i="3" a="1"/>
  <c r="M179" i="3" a="1"/>
  <c r="L202" i="3" a="1"/>
  <c r="W155" i="3" a="1"/>
  <c r="AD238" i="3" a="1"/>
  <c r="H201" i="3" a="1"/>
  <c r="Y209" i="3" a="1"/>
  <c r="U253" i="3" a="1"/>
  <c r="P146" i="3" a="1"/>
  <c r="Q162" i="3" a="1"/>
  <c r="V168" i="3" a="1"/>
  <c r="G71" i="3" a="1"/>
  <c r="AA8" i="3" a="1"/>
  <c r="O211" i="3" a="1"/>
  <c r="K196" i="3" a="1"/>
  <c r="Z141" i="3" a="1"/>
  <c r="W111" i="3" a="1"/>
  <c r="S130" i="3" a="1"/>
  <c r="O63" i="3" a="1"/>
  <c r="P201" i="3" a="1"/>
  <c r="AD138" i="3" a="1"/>
  <c r="B44" i="3" a="1"/>
  <c r="F8" i="3" a="1"/>
  <c r="Y250" i="3" a="1"/>
  <c r="F42" i="3" a="1"/>
  <c r="K63" i="3" a="1"/>
  <c r="C157" i="3" a="1"/>
  <c r="K247" i="3" a="1"/>
  <c r="W216" i="3" a="1"/>
  <c r="M40" i="3" a="1"/>
  <c r="B196" i="3" a="1"/>
  <c r="B182" i="3" a="1"/>
  <c r="AC21" i="3" a="1"/>
  <c r="D241" i="3" a="1"/>
  <c r="K92" i="3" a="1"/>
  <c r="O68" i="3" a="1"/>
  <c r="L244" i="3" a="1"/>
  <c r="O154" i="3" a="1"/>
  <c r="AD217" i="3" a="1"/>
  <c r="E215" i="3" a="1"/>
  <c r="K19" i="3" a="1"/>
  <c r="Q64" i="3" a="1"/>
  <c r="A35" i="3" a="1"/>
  <c r="AA226" i="3" a="1"/>
  <c r="K152" i="3" a="1"/>
  <c r="S23" i="3" a="1"/>
  <c r="W241" i="3" a="1"/>
  <c r="S118" i="3" a="1"/>
  <c r="O164" i="3" a="1"/>
  <c r="F13" i="3" a="1"/>
  <c r="Y222" i="3" a="1"/>
  <c r="Y30" i="3" a="1"/>
  <c r="U102" i="3" a="1"/>
  <c r="B147" i="3" a="1"/>
  <c r="U177" i="3" a="1"/>
  <c r="AD131" i="3" a="1"/>
  <c r="AD202" i="3" a="1"/>
  <c r="C216" i="3" a="1"/>
  <c r="C202" i="3" a="1"/>
  <c r="D45" i="3" a="1"/>
  <c r="AB88" i="3" a="1"/>
  <c r="Y126" i="3" a="1"/>
  <c r="Y157" i="3" a="1"/>
  <c r="AA78" i="3" a="1"/>
  <c r="W165" i="3" a="1"/>
  <c r="H152" i="3" a="1"/>
  <c r="S94" i="3" a="1"/>
  <c r="R23" i="3" a="1"/>
  <c r="P155" i="3" a="1"/>
  <c r="AC179" i="3" a="1"/>
  <c r="Z246" i="3" a="1"/>
  <c r="W67" i="3" a="1"/>
  <c r="AB149" i="3" a="1"/>
  <c r="Y153" i="3" a="1"/>
  <c r="F191" i="3" a="1"/>
  <c r="J83" i="3" a="1"/>
  <c r="W33" i="3" a="1"/>
  <c r="I18" i="3" a="1"/>
  <c r="A247" i="3" a="1"/>
  <c r="M185" i="3" a="1"/>
  <c r="AD181" i="3" a="1"/>
  <c r="W231" i="3" a="1"/>
  <c r="AB86" i="3" a="1"/>
  <c r="O230" i="3" a="1"/>
  <c r="E162" i="3" a="1"/>
  <c r="F138" i="3" a="1"/>
  <c r="AA153" i="3" a="1"/>
  <c r="H17" i="3" a="1"/>
  <c r="F96" i="3" a="1"/>
  <c r="O56" i="3" a="1"/>
  <c r="P15" i="3" a="1"/>
  <c r="V84" i="3" a="1"/>
  <c r="D218" i="3" a="1"/>
  <c r="H213" i="3" a="1"/>
  <c r="K33" i="3" a="1"/>
  <c r="E234" i="3" a="1"/>
  <c r="L171" i="3" a="1"/>
  <c r="C230" i="3" a="1"/>
  <c r="AC26" i="3" a="1"/>
  <c r="W209" i="3" a="1"/>
  <c r="AC156" i="3" a="1"/>
  <c r="P77" i="3" a="1"/>
  <c r="AD229" i="3" a="1"/>
  <c r="M62" i="3" a="1"/>
  <c r="AB181" i="3" a="1"/>
  <c r="L107" i="3" a="1"/>
  <c r="B126" i="3" a="1"/>
  <c r="R63" i="3" a="1"/>
  <c r="R139" i="3" a="1"/>
  <c r="F173" i="3" a="1"/>
  <c r="S136" i="3" a="1"/>
  <c r="S237" i="3" a="1"/>
  <c r="Z61" i="3" a="1"/>
  <c r="O106" i="3" a="1"/>
  <c r="S28" i="3" a="1"/>
  <c r="G52" i="3" a="1"/>
  <c r="K162" i="3" a="1"/>
  <c r="AC19" i="3" a="1"/>
  <c r="V110" i="3" a="1"/>
  <c r="Q132" i="3" a="1"/>
  <c r="Z119" i="3" a="1"/>
  <c r="T63" i="3" a="1"/>
  <c r="C92" i="3" a="1"/>
  <c r="Y54" i="3" a="1"/>
  <c r="AA189" i="3" a="1"/>
  <c r="L22" i="3" a="1"/>
  <c r="F9" i="3" a="1"/>
  <c r="AC88" i="3" a="1"/>
  <c r="AD102" i="3" a="1"/>
  <c r="N80" i="3" a="1"/>
  <c r="Q124" i="3" a="1"/>
  <c r="D29" i="3" a="1"/>
  <c r="G74" i="3" a="1"/>
  <c r="K146" i="3" a="1"/>
  <c r="Q4" i="3" a="1"/>
  <c r="X85" i="3" a="1"/>
  <c r="W78" i="3" a="1"/>
  <c r="V80" i="3" a="1"/>
  <c r="AA212" i="3" a="1"/>
  <c r="R208" i="3" a="1"/>
  <c r="U181" i="3" a="1"/>
  <c r="AA76" i="3" a="1"/>
  <c r="AA79" i="3" a="1"/>
  <c r="G129" i="3" a="1"/>
  <c r="I226" i="3" a="1"/>
  <c r="I242" i="3" a="1"/>
  <c r="G49" i="3" a="1"/>
  <c r="T166" i="3" a="1"/>
  <c r="G108" i="3" a="1"/>
  <c r="Y142" i="3" a="1"/>
  <c r="J184" i="3" a="1"/>
  <c r="U148" i="3" a="1"/>
  <c r="D192" i="3" a="1"/>
  <c r="M64" i="3" a="1"/>
  <c r="A9" i="3" a="1"/>
  <c r="Z175" i="3" a="1"/>
  <c r="A150" i="3" a="1"/>
  <c r="M169" i="3" a="1"/>
  <c r="S248" i="3" a="1"/>
  <c r="V186" i="3" a="1"/>
  <c r="AA62" i="3" a="1"/>
  <c r="I203" i="3" a="1"/>
  <c r="N206" i="3" a="1"/>
  <c r="U149" i="3" a="1"/>
  <c r="A163" i="3" a="1"/>
  <c r="V222" i="3" a="1"/>
  <c r="Z186" i="3" a="1"/>
  <c r="AA160" i="3" a="1"/>
  <c r="M112" i="3" a="1"/>
  <c r="H114" i="3" a="1"/>
  <c r="M154" i="3" a="1"/>
  <c r="N219" i="3" a="1"/>
  <c r="T144" i="3" a="1"/>
  <c r="O177" i="3" a="1"/>
  <c r="C191" i="3" a="1"/>
  <c r="B187" i="3" a="1"/>
  <c r="AD209" i="3" a="1"/>
  <c r="H242" i="3" a="1"/>
  <c r="I253" i="3" a="1"/>
  <c r="G67" i="3" a="1"/>
  <c r="AB55" i="3" a="1"/>
  <c r="Z171" i="3" a="1"/>
  <c r="AB141" i="3" a="1"/>
  <c r="AA137" i="3" a="1"/>
  <c r="T195" i="3" a="1"/>
  <c r="W90" i="3" a="1"/>
  <c r="E85" i="3" a="1"/>
  <c r="R218" i="3" a="1"/>
  <c r="U52" i="3" a="1"/>
  <c r="AC92" i="3" a="1"/>
  <c r="J232" i="3" a="1"/>
  <c r="C78" i="3" a="1"/>
  <c r="W83" i="3" a="1"/>
  <c r="K178" i="3" a="1"/>
  <c r="L193" i="3" a="1"/>
  <c r="I81" i="3" a="1"/>
  <c r="AB147" i="3" a="1"/>
  <c r="Q183" i="3" a="1"/>
  <c r="AC3" i="3" a="1"/>
  <c r="W252" i="3" a="1"/>
  <c r="W79" i="3" a="1"/>
  <c r="E211" i="3" a="1"/>
  <c r="S37" i="3" a="1"/>
  <c r="S85" i="3" a="1"/>
  <c r="G106" i="3" a="1"/>
  <c r="AB24" i="3" a="1"/>
  <c r="X239" i="3" a="1"/>
  <c r="F126" i="3" a="1"/>
  <c r="T188" i="3" a="1"/>
  <c r="Y62" i="3" a="1"/>
  <c r="X117" i="3" a="1"/>
  <c r="T109" i="3" a="1"/>
  <c r="Z77" i="3" a="1"/>
  <c r="A165" i="3" a="1"/>
  <c r="R140" i="3" a="1"/>
  <c r="F223" i="3" a="1"/>
  <c r="U133" i="3" a="1"/>
  <c r="P88" i="3" a="1"/>
  <c r="A128" i="3" a="1"/>
  <c r="O194" i="3" a="1"/>
  <c r="A32" i="3" a="1"/>
  <c r="Z98" i="3" a="1"/>
  <c r="Z36" i="3" a="1"/>
  <c r="F248" i="3" a="1"/>
  <c r="W157" i="3" a="1"/>
  <c r="Y19" i="3" a="1"/>
  <c r="U26" i="3" a="1"/>
  <c r="W107" i="3" a="1"/>
  <c r="K140" i="3" a="1"/>
  <c r="T230" i="3" a="1"/>
  <c r="J61" i="3" a="1"/>
  <c r="Z249" i="3" a="1"/>
  <c r="D77" i="3" a="1"/>
  <c r="B146" i="3" a="1"/>
  <c r="Q167" i="3" a="1"/>
  <c r="B73" i="3" a="1"/>
  <c r="T131" i="3" a="1"/>
  <c r="U167" i="3" a="1"/>
  <c r="AB60" i="3" a="1"/>
  <c r="I99" i="3" a="1"/>
  <c r="O153" i="3" a="1"/>
  <c r="P255" i="3" a="1"/>
  <c r="A189" i="3" a="1"/>
  <c r="K23" i="3" a="1"/>
  <c r="B104" i="3" a="1"/>
  <c r="V88" i="3" a="1"/>
  <c r="P26" i="3" a="1"/>
  <c r="A224" i="3" a="1"/>
  <c r="Q187" i="3" a="1"/>
  <c r="O28" i="3" a="1"/>
  <c r="A159" i="3" a="1"/>
  <c r="AB14" i="3" a="1"/>
  <c r="L149" i="3" a="1"/>
  <c r="J229" i="3" a="1"/>
  <c r="W225" i="3" a="1"/>
  <c r="H26" i="3" a="1"/>
  <c r="L186" i="3" a="1"/>
  <c r="J175" i="3" a="1"/>
  <c r="S219" i="3" a="1"/>
  <c r="A164" i="3" a="1"/>
  <c r="Y206" i="3" a="1"/>
  <c r="Z38" i="3" a="1"/>
  <c r="H172" i="3" a="1"/>
  <c r="U49" i="3" a="1"/>
  <c r="F152" i="3" a="1"/>
  <c r="O107" i="3" a="1"/>
  <c r="Y212" i="3" a="1"/>
  <c r="T235" i="3" a="1"/>
  <c r="B241" i="3" a="1"/>
  <c r="R211" i="3" a="1"/>
  <c r="B117" i="3" a="1"/>
  <c r="R138" i="3" a="1"/>
  <c r="K181" i="3" a="1"/>
  <c r="O151" i="3" a="1"/>
  <c r="Z17" i="3" a="1"/>
  <c r="V104" i="3" a="1"/>
  <c r="C140" i="3" a="1"/>
  <c r="Z8" i="3" a="1"/>
  <c r="E246" i="3" a="1"/>
  <c r="J237" i="3" a="1"/>
  <c r="M235" i="3" a="1"/>
  <c r="W39" i="3" a="1"/>
  <c r="A194" i="3" a="1"/>
  <c r="E145" i="3" a="1"/>
  <c r="U182" i="3" a="1"/>
  <c r="C226" i="3" a="1"/>
  <c r="P167" i="3" a="1"/>
  <c r="K29" i="3" a="1"/>
  <c r="D138" i="3" a="1"/>
  <c r="Q82" i="3" a="1"/>
  <c r="X247" i="3" a="1"/>
  <c r="Z219" i="3" a="1"/>
  <c r="W22" i="3" a="1"/>
  <c r="I237" i="3" a="1"/>
  <c r="S197" i="3" a="1"/>
  <c r="L20" i="3" a="1"/>
  <c r="AD185" i="3" a="1"/>
  <c r="I208" i="3" a="1"/>
  <c r="AB206" i="3" a="1"/>
  <c r="H116" i="3" a="1"/>
  <c r="AA128" i="3" a="1"/>
  <c r="AD43" i="3" a="1"/>
  <c r="N166" i="3" a="1"/>
  <c r="W42" i="3" a="1"/>
  <c r="P22" i="3" a="1"/>
  <c r="J23" i="3" a="1"/>
  <c r="X57" i="3" a="1"/>
  <c r="O187" i="3" a="1"/>
  <c r="P237" i="3" a="1"/>
  <c r="Y207" i="3" a="1"/>
  <c r="R36" i="3" a="1"/>
  <c r="V11" i="3" a="1"/>
  <c r="AA107" i="3" a="1"/>
  <c r="Y243" i="3" a="1"/>
  <c r="H255" i="3" a="1"/>
  <c r="M254" i="3" a="1"/>
  <c r="AC31" i="3" a="1"/>
  <c r="AC180" i="3" a="1"/>
  <c r="Y40" i="3" a="1"/>
  <c r="R105" i="3" a="1"/>
  <c r="G180" i="3" a="1"/>
  <c r="AC120" i="3" a="1"/>
  <c r="AB187" i="3" a="1"/>
  <c r="E232" i="3" a="1"/>
  <c r="Y165" i="3" a="1"/>
  <c r="AC151" i="3" a="1"/>
  <c r="R214" i="3" a="1"/>
  <c r="W34" i="3" a="1"/>
  <c r="AD18" i="3" a="1"/>
  <c r="M61" i="3" a="1"/>
  <c r="G233" i="3" a="1"/>
  <c r="A61" i="3" a="1"/>
  <c r="M70" i="3" a="1"/>
  <c r="H132" i="3" a="1"/>
  <c r="E213" i="3" a="1"/>
  <c r="C113" i="3" a="1"/>
  <c r="B113" i="3" a="1"/>
  <c r="X18" i="3" a="1"/>
  <c r="N251" i="3" a="1"/>
  <c r="Y115" i="3" a="1"/>
  <c r="AD145" i="3" a="1"/>
  <c r="T58" i="3" a="1"/>
  <c r="AB118" i="3" a="1"/>
  <c r="H190" i="3" a="1"/>
  <c r="AC251" i="3" a="1"/>
  <c r="AC103" i="3" a="1"/>
  <c r="X11" i="3" a="1"/>
  <c r="J213" i="3" a="1"/>
  <c r="D61" i="3" a="1"/>
  <c r="J110" i="3" a="1"/>
  <c r="B43" i="3" a="1"/>
  <c r="H139" i="3" a="1"/>
  <c r="Z101" i="3" a="1"/>
  <c r="AA47" i="3" a="1"/>
  <c r="AA117" i="3" a="1"/>
  <c r="M10" i="3" a="1"/>
  <c r="AB105" i="3" a="1"/>
  <c r="W8" i="3" a="1"/>
  <c r="T228" i="3" a="1"/>
  <c r="F177" i="3" a="1"/>
  <c r="L70" i="3" a="1"/>
  <c r="R190" i="3" a="1"/>
  <c r="H82" i="3" a="1"/>
  <c r="Q208" i="3" a="1"/>
  <c r="I2" i="3" a="1"/>
  <c r="L182" i="3" a="1"/>
  <c r="N97" i="3" a="1"/>
  <c r="O205" i="3" a="1"/>
  <c r="Q170" i="3" a="1"/>
  <c r="N64" i="3" a="1"/>
  <c r="Z27" i="3" a="1"/>
  <c r="N201" i="3" a="1"/>
  <c r="Q76" i="3" a="1"/>
  <c r="I123" i="3" a="1"/>
  <c r="K184" i="3" a="1"/>
  <c r="X232" i="3" a="1"/>
  <c r="T219" i="3" a="1"/>
  <c r="S54" i="3" a="1"/>
  <c r="J224" i="3" a="1"/>
  <c r="Z52" i="3" a="1"/>
  <c r="W207" i="3" a="1"/>
  <c r="X51" i="3" a="1"/>
  <c r="A242" i="3" a="1"/>
  <c r="N91" i="3" a="1"/>
  <c r="L161" i="3" a="1"/>
  <c r="P208" i="3" a="1"/>
  <c r="K73" i="3" a="1"/>
  <c r="G168" i="3" a="1"/>
  <c r="T39" i="3" a="1"/>
  <c r="F84" i="3" a="1"/>
  <c r="Q21" i="3" a="1"/>
  <c r="Z243" i="3" a="1"/>
  <c r="W37" i="3" a="1"/>
  <c r="L54" i="3" a="1"/>
  <c r="O209" i="3" a="1"/>
  <c r="V165" i="3" a="1"/>
  <c r="S226" i="3" a="1"/>
  <c r="K24" i="3" a="1"/>
  <c r="A251" i="3" a="1"/>
  <c r="T51" i="3" a="1"/>
  <c r="Z215" i="3" a="1"/>
  <c r="X135" i="3" a="1"/>
  <c r="N180" i="3" a="1"/>
  <c r="J78" i="3" a="1"/>
  <c r="P93" i="3" a="1"/>
  <c r="P168" i="3" a="1"/>
  <c r="E24" i="3" a="1"/>
  <c r="W135" i="3" a="1"/>
  <c r="K224" i="3" a="1"/>
  <c r="I243" i="3" a="1"/>
  <c r="W245" i="3" a="1"/>
  <c r="D91" i="3" a="1"/>
  <c r="D85" i="3" a="1"/>
  <c r="N114" i="3" a="1"/>
  <c r="X221" i="3" a="1"/>
  <c r="E165" i="3" a="1"/>
  <c r="X196" i="3" a="1"/>
  <c r="W242" i="3" a="1"/>
  <c r="K208" i="3" a="1"/>
  <c r="B4" i="3" a="1"/>
  <c r="S184" i="3" a="1"/>
  <c r="B37" i="3" a="1"/>
  <c r="A51" i="3" a="1"/>
  <c r="Z248" i="3" a="1"/>
  <c r="T121" i="3" a="1"/>
  <c r="Q136" i="3" a="1"/>
  <c r="G139" i="3" a="1"/>
  <c r="AB219" i="3" a="1"/>
  <c r="K71" i="3" a="1"/>
  <c r="Z189" i="3" a="1"/>
  <c r="C253" i="3" a="1"/>
  <c r="H100" i="3" a="1"/>
  <c r="R195" i="3" a="1"/>
  <c r="AB153" i="3" a="1"/>
  <c r="AD192" i="3" a="1"/>
  <c r="L250" i="3" a="1"/>
  <c r="J18" i="3" a="1"/>
  <c r="P217" i="3" a="1"/>
  <c r="H67" i="3" a="1"/>
  <c r="R230" i="3" a="1"/>
  <c r="G104" i="3" a="1"/>
  <c r="L50" i="3" a="1"/>
  <c r="L62" i="3" a="1"/>
  <c r="T204" i="3" a="1"/>
  <c r="A171" i="3" a="1"/>
  <c r="W247" i="3" a="1"/>
  <c r="Z74" i="3" a="1"/>
  <c r="N117" i="3" a="1"/>
  <c r="X17" i="3" a="1"/>
  <c r="J9" i="3" a="1"/>
  <c r="AB240" i="3" a="1"/>
  <c r="D82" i="3" a="1"/>
  <c r="AC58" i="3" a="1"/>
  <c r="V90" i="3" a="1"/>
  <c r="AC66" i="3" a="1"/>
  <c r="AA224" i="3" a="1"/>
  <c r="AD222" i="3" a="1"/>
  <c r="U144" i="3" a="1"/>
  <c r="O62" i="3" a="1"/>
  <c r="AA126" i="3" a="1"/>
  <c r="U5" i="3" a="1"/>
  <c r="N36" i="3" a="1"/>
  <c r="Q206" i="3" a="1"/>
  <c r="X140" i="3" a="1"/>
  <c r="W97" i="3" a="1"/>
  <c r="Z99" i="3" a="1"/>
  <c r="E252" i="3" a="1"/>
  <c r="N246" i="3" a="1"/>
  <c r="U233" i="3" a="1"/>
  <c r="Y139" i="3" a="1"/>
  <c r="H96" i="3" a="1"/>
  <c r="K232" i="3" a="1"/>
  <c r="E253" i="3" a="1"/>
  <c r="AD52" i="3" a="1"/>
  <c r="AA12" i="3" a="1"/>
  <c r="M221" i="3" a="1"/>
  <c r="V187" i="3" a="1"/>
  <c r="V181" i="3" a="1"/>
  <c r="S234" i="3" a="1"/>
  <c r="A239" i="3" a="1"/>
  <c r="W237" i="3" a="1"/>
  <c r="D161" i="3" a="1"/>
  <c r="AA100" i="3" a="1"/>
  <c r="J148" i="3" a="1"/>
  <c r="B100" i="3" a="1"/>
  <c r="AD44" i="3" a="1"/>
  <c r="I220" i="3" a="1"/>
  <c r="AA190" i="3" a="1"/>
  <c r="AA140" i="3" a="1"/>
  <c r="Z6" i="3" a="1"/>
  <c r="J123" i="3" a="1"/>
  <c r="Q27" i="3" a="1"/>
  <c r="F66" i="3" a="1"/>
  <c r="Z96" i="3" a="1"/>
  <c r="Z214" i="3" a="1"/>
  <c r="AD130" i="3" a="1"/>
  <c r="AB238" i="3" a="1"/>
  <c r="D188" i="3" a="1"/>
  <c r="AD107" i="3" a="1"/>
  <c r="K36" i="3" a="1"/>
  <c r="AD151" i="3" a="1"/>
  <c r="Z86" i="3" a="1"/>
  <c r="E238" i="3" a="1"/>
  <c r="Q190" i="3" a="1"/>
  <c r="N134" i="3" a="1"/>
  <c r="Q242" i="3" a="1"/>
  <c r="V167" i="3" a="1"/>
  <c r="K84" i="3" a="1"/>
  <c r="V54" i="3" a="1"/>
  <c r="U195" i="3" a="1"/>
  <c r="Z149" i="3" a="1"/>
  <c r="X180" i="3" a="1"/>
  <c r="K205" i="3" a="1"/>
  <c r="AD55" i="3" a="1"/>
  <c r="V244" i="3" a="1"/>
  <c r="AC51" i="3" a="1"/>
  <c r="D96" i="3" a="1"/>
  <c r="G149" i="3" a="1"/>
  <c r="U126" i="3" a="1"/>
  <c r="Y74" i="3" a="1"/>
  <c r="B56" i="3" a="1"/>
  <c r="Z124" i="3" a="1"/>
  <c r="X33" i="3" a="1"/>
  <c r="Z104" i="3" a="1"/>
  <c r="A231" i="3" a="1"/>
  <c r="H56" i="3" a="1"/>
  <c r="I219" i="3" a="1"/>
  <c r="X69" i="3" a="1"/>
  <c r="AA141" i="3" a="1"/>
  <c r="M116" i="3" a="1"/>
  <c r="U41" i="3" a="1"/>
  <c r="F74" i="3" a="1"/>
  <c r="F203" i="3" a="1"/>
  <c r="AC84" i="3" a="1"/>
  <c r="O50" i="3" a="1"/>
  <c r="Z164" i="3" a="1"/>
  <c r="I225" i="3" a="1"/>
  <c r="C245" i="3" a="1"/>
  <c r="H149" i="3" a="1"/>
  <c r="Y189" i="3" a="1"/>
  <c r="H180" i="3" a="1"/>
  <c r="X154" i="3" a="1"/>
  <c r="N120" i="3" a="1"/>
  <c r="R213" i="3" a="1"/>
  <c r="R150" i="3" a="1"/>
  <c r="A152" i="3" a="1"/>
  <c r="L157" i="3" a="1"/>
  <c r="W205" i="3" a="1"/>
  <c r="AD62" i="3" a="1"/>
  <c r="G178" i="3" a="1"/>
  <c r="Q100" i="3" a="1"/>
  <c r="AA195" i="3" a="1"/>
  <c r="A37" i="3" a="1"/>
  <c r="AD21" i="3" a="1"/>
  <c r="C11" i="3" a="1"/>
  <c r="O87" i="3" a="1"/>
  <c r="G218" i="3" a="1"/>
  <c r="P190" i="3" a="1"/>
  <c r="D238" i="3" a="1"/>
  <c r="AB94" i="3" a="1"/>
  <c r="AB249" i="3" a="1"/>
  <c r="G25" i="3" a="1"/>
  <c r="I202" i="3" a="1"/>
  <c r="P213" i="3" a="1"/>
  <c r="P136" i="3" a="1"/>
  <c r="Q153" i="3" a="1"/>
  <c r="V227" i="3" a="1"/>
  <c r="D94" i="3" a="1"/>
  <c r="P19" i="3" a="1"/>
  <c r="AA251" i="3" a="1"/>
  <c r="A226" i="3" a="1"/>
  <c r="AA148" i="3" a="1"/>
  <c r="X12" i="3" a="1"/>
  <c r="X203" i="3" a="1"/>
  <c r="L191" i="3" a="1"/>
  <c r="Q114" i="3" a="1"/>
  <c r="D89" i="3" a="1"/>
  <c r="M252" i="3" a="1"/>
  <c r="I214" i="3" a="1"/>
  <c r="O249" i="3" a="1"/>
  <c r="S138" i="3" a="1"/>
  <c r="K183" i="3" a="1"/>
  <c r="O192" i="3" a="1"/>
  <c r="P6" i="3" a="1"/>
  <c r="V93" i="3" a="1"/>
  <c r="T57" i="3" a="1"/>
  <c r="AA26" i="3" a="1"/>
  <c r="K34" i="3" a="1"/>
  <c r="D174" i="3" a="1"/>
  <c r="AD155" i="3" a="1"/>
  <c r="AD163" i="3" a="1"/>
  <c r="C89" i="3" a="1"/>
  <c r="V164" i="3" a="1"/>
  <c r="N218" i="3" a="1"/>
  <c r="W234" i="3" a="1"/>
  <c r="L240" i="3" a="1"/>
  <c r="AD12" i="3" a="1"/>
  <c r="L245" i="3" a="1"/>
  <c r="G50" i="3" a="1"/>
  <c r="R112" i="3" a="1"/>
  <c r="Y161" i="3" a="1"/>
  <c r="O227" i="3" a="1"/>
  <c r="L222" i="3" a="1"/>
  <c r="O251" i="3" a="1"/>
  <c r="R40" i="3" a="1"/>
  <c r="AB17" i="3" a="1"/>
  <c r="A215" i="3" a="1"/>
  <c r="V196" i="3" a="1"/>
  <c r="U75" i="3" a="1"/>
  <c r="W183" i="3" a="1"/>
  <c r="B225" i="3" a="1"/>
  <c r="AC168" i="3" a="1"/>
  <c r="Q48" i="3" a="1"/>
  <c r="D64" i="3" a="1"/>
  <c r="J136" i="3" a="1"/>
  <c r="O115" i="3" a="1"/>
  <c r="K117" i="3" a="1"/>
  <c r="AB150" i="3" a="1"/>
  <c r="U131" i="3" a="1"/>
  <c r="Z67" i="3" a="1"/>
  <c r="O80" i="3" a="1"/>
  <c r="V249" i="3" a="1"/>
  <c r="B156" i="3" a="1"/>
  <c r="S244" i="3" a="1"/>
  <c r="Q179" i="3" a="1"/>
  <c r="L48" i="3" a="1"/>
  <c r="D158" i="3" a="1"/>
  <c r="U10" i="3" a="1"/>
  <c r="P43" i="3" a="1"/>
  <c r="V102" i="3" a="1"/>
  <c r="AD243" i="3" a="1"/>
  <c r="N26" i="3" a="1"/>
  <c r="E83" i="3" a="1"/>
  <c r="M246" i="3" a="1"/>
  <c r="Y210" i="3" a="1"/>
  <c r="I8" i="3" a="1"/>
  <c r="U66" i="3" a="1"/>
  <c r="L77" i="3" a="1"/>
  <c r="AB179" i="3" a="1"/>
  <c r="R187" i="3" a="1"/>
  <c r="B175" i="3" a="1"/>
  <c r="AC17" i="3" a="1"/>
  <c r="Y103" i="3" a="1"/>
  <c r="R127" i="3" a="1"/>
  <c r="D182" i="3" a="1"/>
  <c r="K210" i="3" a="1"/>
  <c r="I192" i="3" a="1"/>
  <c r="Z30" i="3" a="1"/>
  <c r="Z81" i="3" a="1"/>
  <c r="M91" i="3" a="1"/>
  <c r="O126" i="3" a="1"/>
  <c r="E146" i="3" a="1"/>
  <c r="G47" i="3" a="1"/>
  <c r="J74" i="3" a="1"/>
  <c r="AD132" i="3" a="1"/>
  <c r="R98" i="3" a="1"/>
  <c r="AA234" i="3" a="1"/>
  <c r="X229" i="3" a="1"/>
  <c r="A8" i="3" a="1"/>
  <c r="B239" i="3" a="1"/>
  <c r="AC95" i="3" a="1"/>
  <c r="N123" i="3" a="1"/>
  <c r="L138" i="3" a="1"/>
  <c r="O213" i="3" a="1"/>
  <c r="M147" i="3" a="1"/>
  <c r="S241" i="3" a="1"/>
  <c r="E100" i="3" a="1"/>
  <c r="L135" i="3" a="1"/>
  <c r="AA196" i="3" a="1"/>
  <c r="E243" i="3" a="1"/>
  <c r="I9" i="3" a="1"/>
  <c r="Y86" i="3" a="1"/>
  <c r="H147" i="3" a="1"/>
  <c r="W194" i="3" a="1"/>
  <c r="AD179" i="3" a="1"/>
  <c r="M121" i="3" a="1"/>
  <c r="A170" i="3" a="1"/>
  <c r="H6" i="3" a="1"/>
  <c r="AD51" i="3" a="1"/>
  <c r="P114" i="3" a="1"/>
  <c r="E106" i="3" a="1"/>
  <c r="V37" i="3" a="1"/>
  <c r="N76" i="3" a="1"/>
  <c r="J7" i="3" a="1"/>
  <c r="C254" i="3" a="1"/>
  <c r="D198" i="3" a="1"/>
  <c r="AA32" i="3" a="1"/>
  <c r="N176" i="3" a="1"/>
  <c r="W217" i="3" a="1"/>
  <c r="W148" i="3" a="1"/>
  <c r="I41" i="3" a="1"/>
  <c r="AD216" i="3" a="1"/>
  <c r="W174" i="3" a="1"/>
  <c r="X174" i="3" a="1"/>
  <c r="T205" i="3" a="1"/>
  <c r="T15" i="3" a="1"/>
  <c r="D143" i="3" a="1"/>
  <c r="D124" i="3" a="1"/>
  <c r="G24" i="3" a="1"/>
  <c r="H197" i="3" a="1"/>
  <c r="N86" i="3" a="1"/>
  <c r="X125" i="3" a="1"/>
  <c r="G251" i="3" a="1"/>
  <c r="M150" i="3" a="1"/>
  <c r="N197" i="3" a="1"/>
  <c r="J24" i="3" a="1"/>
  <c r="F230" i="3" a="1"/>
  <c r="J204" i="3" a="1"/>
  <c r="V213" i="3" a="1"/>
  <c r="N106" i="3" a="1"/>
  <c r="AA81" i="3" a="1"/>
  <c r="Y173" i="3" a="1"/>
  <c r="O161" i="3" a="1"/>
  <c r="N30" i="3" a="1"/>
  <c r="V149" i="3" a="1"/>
  <c r="J28" i="3" a="1"/>
  <c r="AB106" i="3" a="1"/>
  <c r="AB169" i="3" a="1"/>
  <c r="K27" i="3" a="1"/>
  <c r="G202" i="3" a="1"/>
  <c r="E228" i="3" a="1"/>
  <c r="H143" i="3" a="1"/>
  <c r="N131" i="3" a="1"/>
  <c r="M168" i="3" a="1"/>
  <c r="X77" i="3" a="1"/>
  <c r="F144" i="3" a="1"/>
  <c r="X240" i="3" a="1"/>
  <c r="W82" i="3" a="1"/>
  <c r="Q109" i="3" a="1"/>
  <c r="M189" i="3" a="1"/>
  <c r="AC218" i="3" a="1"/>
  <c r="C169" i="3" a="1"/>
  <c r="E88" i="3" a="1"/>
  <c r="R223" i="3" a="1"/>
  <c r="Z13" i="3" a="1"/>
  <c r="AD211" i="3" a="1"/>
  <c r="AD236" i="3" a="1"/>
  <c r="N40" i="3" a="1"/>
  <c r="AA122" i="3" a="1"/>
  <c r="V76" i="3" a="1"/>
  <c r="L65" i="3" a="1"/>
  <c r="F17" i="3" a="1"/>
  <c r="A55" i="3" a="1"/>
  <c r="B198" i="3" a="1"/>
  <c r="B252" i="3" a="1"/>
  <c r="F127" i="3" a="1"/>
  <c r="W63" i="3" a="1"/>
  <c r="S227" i="3" a="1"/>
  <c r="AC243" i="3" a="1"/>
  <c r="L102" i="3" a="1"/>
  <c r="C249" i="3" a="1"/>
  <c r="U173" i="3" a="1"/>
  <c r="M230" i="3" a="1"/>
  <c r="I233" i="3" a="1"/>
  <c r="G173" i="3" a="1"/>
  <c r="T181" i="3" a="1"/>
  <c r="AB59" i="3" a="1"/>
  <c r="W18" i="3" a="1"/>
  <c r="AA211" i="3" a="1"/>
  <c r="K134" i="3" a="1"/>
  <c r="I137" i="3" a="1"/>
  <c r="O119" i="3" a="1"/>
  <c r="AA176" i="3" a="1"/>
  <c r="AB182" i="3" a="1"/>
  <c r="D139" i="3" a="1"/>
  <c r="W71" i="3" a="1"/>
  <c r="L174" i="3" a="1"/>
  <c r="E63" i="3" a="1"/>
  <c r="Z199" i="3" a="1"/>
  <c r="U222" i="3" a="1"/>
  <c r="F69" i="3" a="1"/>
  <c r="I250" i="3" a="1"/>
  <c r="R163" i="3" a="1"/>
  <c r="B247" i="3" a="1"/>
  <c r="AD172" i="3" a="1"/>
  <c r="W2" i="3" a="1"/>
  <c r="A89" i="3" a="1"/>
  <c r="V96" i="3" a="1"/>
  <c r="T237" i="3" a="1"/>
  <c r="Q142" i="3" a="1"/>
  <c r="C208" i="3" a="1"/>
  <c r="L97" i="3" a="1"/>
  <c r="C35" i="3" a="1"/>
  <c r="U87" i="3" a="1"/>
  <c r="B20" i="3" a="1"/>
  <c r="I52" i="3" a="1"/>
  <c r="Z109" i="3" a="1"/>
  <c r="M198" i="3" a="1"/>
  <c r="F214" i="3" a="1"/>
  <c r="C12" i="3" a="1"/>
  <c r="A82" i="3" a="1"/>
  <c r="T202" i="3" a="1"/>
  <c r="I60" i="3" a="1"/>
  <c r="Y51" i="3" a="1"/>
  <c r="X208" i="3" a="1"/>
  <c r="AA146" i="3" a="1"/>
  <c r="AC229" i="3" a="1"/>
  <c r="M146" i="3" a="1"/>
  <c r="X163" i="3" a="1"/>
  <c r="R147" i="3" a="1"/>
  <c r="K201" i="3" a="1"/>
  <c r="X175" i="3" a="1"/>
  <c r="B92" i="3" a="1"/>
  <c r="G77" i="3" a="1"/>
  <c r="I211" i="3" a="1"/>
  <c r="E128" i="3" a="1"/>
  <c r="AA171" i="3" a="1"/>
  <c r="P152" i="3" a="1"/>
  <c r="E148" i="3" a="1"/>
  <c r="AA233" i="3" a="1"/>
  <c r="C136" i="3" a="1"/>
  <c r="T179" i="3" a="1"/>
  <c r="W132" i="3" a="1"/>
  <c r="G241" i="3" a="1"/>
  <c r="P250" i="3" a="1"/>
  <c r="T105" i="3" a="1"/>
  <c r="Y184" i="3" a="1"/>
  <c r="Q144" i="3" a="1"/>
  <c r="D52" i="3" a="1"/>
  <c r="V116" i="3" a="1"/>
  <c r="C51" i="3" a="1"/>
  <c r="R227" i="3" a="1"/>
  <c r="O196" i="3" a="1"/>
  <c r="N181" i="3" a="1"/>
  <c r="Q39" i="3" a="1"/>
  <c r="R48" i="3" a="1"/>
  <c r="R228" i="3" a="1"/>
  <c r="J133" i="3" a="1"/>
  <c r="V66" i="3" a="1"/>
  <c r="D223" i="3" a="1"/>
  <c r="J10" i="3" a="1"/>
  <c r="E254" i="3" a="1"/>
  <c r="A203" i="3" a="1"/>
  <c r="M249" i="3" a="1"/>
  <c r="I10" i="3" a="1"/>
  <c r="AA205" i="3" a="1"/>
  <c r="J150" i="3" a="1"/>
  <c r="Z89" i="3" a="1"/>
  <c r="S115" i="3" a="1"/>
  <c r="H198" i="3" a="1"/>
  <c r="L181" i="3" a="1"/>
  <c r="Y119" i="3" a="1"/>
  <c r="AB152" i="3" a="1"/>
  <c r="AB171" i="3" a="1"/>
  <c r="AA36" i="3" a="1"/>
  <c r="G16" i="3" a="1"/>
  <c r="V50" i="3" a="1"/>
  <c r="B125" i="3" a="1"/>
  <c r="M158" i="3" a="1"/>
  <c r="O104" i="3" a="1"/>
  <c r="AA123" i="3" a="1"/>
  <c r="AC252" i="3" a="1"/>
  <c r="O171" i="3" a="1"/>
  <c r="P56" i="3" a="1"/>
  <c r="B34" i="3" a="1"/>
  <c r="P87" i="3" a="1"/>
  <c r="AC232" i="3" a="1"/>
  <c r="S230" i="3" a="1"/>
  <c r="D185" i="3" a="1"/>
  <c r="B101" i="3" a="1"/>
  <c r="W161" i="3" a="1"/>
  <c r="Z177" i="3" a="1"/>
  <c r="H219" i="3" a="1"/>
  <c r="S111" i="3" a="1"/>
  <c r="AA87" i="3" a="1"/>
  <c r="R109" i="3" a="1"/>
  <c r="AA200" i="3" a="1"/>
  <c r="K233" i="3" a="1"/>
  <c r="M42" i="3" a="1"/>
  <c r="W54" i="3" a="1"/>
  <c r="C65" i="3" a="1"/>
  <c r="K228" i="3" a="1"/>
  <c r="Z85" i="3" a="1"/>
  <c r="T226" i="3" a="1"/>
  <c r="I249" i="3" a="1"/>
  <c r="D140" i="3" a="1"/>
  <c r="Y177" i="3" a="1"/>
  <c r="V166" i="3" a="1"/>
  <c r="C82" i="3" a="1"/>
  <c r="D228" i="3" a="1"/>
  <c r="K163" i="3" a="1"/>
  <c r="L170" i="3" a="1"/>
  <c r="B129" i="3" a="1"/>
  <c r="T2" i="3" a="1"/>
  <c r="AA197" i="3" a="1"/>
  <c r="F183" i="3" a="1"/>
  <c r="F63" i="3" a="1"/>
  <c r="L109" i="3" a="1"/>
  <c r="L139" i="3" a="1"/>
  <c r="Z158" i="3" a="1"/>
  <c r="Y149" i="3" a="1"/>
  <c r="AA232" i="3" a="1"/>
  <c r="Y131" i="3" a="1"/>
  <c r="E200" i="3" a="1"/>
  <c r="J68" i="3" a="1"/>
  <c r="M44" i="3" a="1"/>
  <c r="AD252" i="3" a="1"/>
  <c r="M175" i="3" a="1"/>
  <c r="O253" i="3" a="1"/>
  <c r="R197" i="3" a="1"/>
  <c r="M219" i="3" a="1"/>
  <c r="M236" i="3" a="1"/>
  <c r="Q169" i="3" a="1"/>
  <c r="F151" i="3" a="1"/>
  <c r="X189" i="3" a="1"/>
  <c r="V51" i="3" a="1"/>
  <c r="Q115" i="3" a="1"/>
  <c r="AC25" i="3" a="1"/>
  <c r="W59" i="3" a="1"/>
  <c r="X120" i="3" a="1"/>
  <c r="X158" i="3" a="1"/>
  <c r="F148" i="3" a="1"/>
  <c r="S72" i="3" a="1"/>
  <c r="AD61" i="3" a="1"/>
  <c r="L117" i="3" a="1"/>
  <c r="F137" i="3" a="1"/>
  <c r="AC23" i="3" a="1"/>
  <c r="D145" i="3" a="1"/>
  <c r="I4" i="3" a="1"/>
  <c r="U77" i="3" a="1"/>
  <c r="J47" i="3" a="1"/>
  <c r="E227" i="3" a="1"/>
  <c r="S124" i="3" a="1"/>
  <c r="AA173" i="3" a="1"/>
  <c r="R179" i="3" a="1"/>
  <c r="AA115" i="3" a="1"/>
  <c r="Z87" i="3" a="1"/>
  <c r="M180" i="3" a="1"/>
  <c r="G167" i="3" a="1"/>
  <c r="AD250" i="3" a="1"/>
  <c r="L153" i="3" a="1"/>
  <c r="I146" i="3" a="1"/>
  <c r="AB109" i="3" a="1"/>
  <c r="N165" i="3" a="1"/>
  <c r="I43" i="3" a="1"/>
  <c r="W114" i="3" a="1"/>
  <c r="R35" i="3" a="1"/>
  <c r="V232" i="3" a="1"/>
  <c r="Y107" i="3" a="1"/>
  <c r="Q44" i="3" a="1"/>
  <c r="S150" i="3" a="1"/>
  <c r="AA109" i="3" a="1"/>
  <c r="U34" i="3" a="1"/>
  <c r="AD64" i="3" a="1"/>
  <c r="F240" i="3" a="1"/>
  <c r="B232" i="3" a="1"/>
  <c r="AB93" i="3" a="1"/>
  <c r="X134" i="3" a="1"/>
  <c r="G163" i="3" a="1"/>
  <c r="AD204" i="3" a="1"/>
  <c r="C115" i="3" a="1"/>
  <c r="C145" i="3" a="1"/>
  <c r="W131" i="3" a="1"/>
  <c r="M210" i="3" a="1"/>
  <c r="N98" i="3" a="1"/>
  <c r="AB107" i="3" a="1"/>
  <c r="H33" i="3" a="1"/>
  <c r="AC176" i="3" a="1"/>
  <c r="V146" i="3" a="1"/>
  <c r="AB36" i="3" a="1"/>
  <c r="I53" i="3" a="1"/>
  <c r="L254" i="3" a="1"/>
  <c r="O45" i="3" a="1"/>
  <c r="P54" i="3" a="1"/>
  <c r="P163" i="3" a="1"/>
  <c r="D217" i="3" a="1"/>
  <c r="W9" i="3" a="1"/>
  <c r="I234" i="3" a="1"/>
  <c r="M220" i="3" a="1"/>
  <c r="G216" i="3" a="1"/>
  <c r="D233" i="3" a="1"/>
  <c r="L143" i="3" a="1"/>
  <c r="M101" i="3" a="1"/>
  <c r="G204" i="3" a="1"/>
  <c r="G186" i="3" a="1"/>
  <c r="U226" i="3" a="1"/>
  <c r="E161" i="3" a="1"/>
  <c r="H225" i="3" a="1"/>
  <c r="J206" i="3" a="1"/>
  <c r="V242" i="3" a="1"/>
  <c r="O247" i="3" a="1"/>
  <c r="AA90" i="3" a="1"/>
  <c r="Y183" i="3" a="1"/>
  <c r="V210" i="3" a="1"/>
  <c r="AD125" i="3" a="1"/>
  <c r="T153" i="3" a="1"/>
  <c r="AD80" i="3" a="1"/>
  <c r="AB81" i="3" a="1"/>
  <c r="V97" i="3" a="1"/>
  <c r="K199" i="3" a="1"/>
  <c r="H93" i="3" a="1"/>
  <c r="S214" i="3" a="1"/>
  <c r="T42" i="3" a="1"/>
  <c r="B72" i="3" a="1"/>
  <c r="M120" i="3" a="1"/>
  <c r="B45" i="3" a="1"/>
  <c r="X129" i="3" a="1"/>
  <c r="M135" i="3" a="1"/>
  <c r="P129" i="3" a="1"/>
  <c r="J103" i="3" a="1"/>
  <c r="B41" i="3" a="1"/>
  <c r="P149" i="3" a="1"/>
  <c r="E194" i="3" a="1"/>
  <c r="T96" i="3" a="1"/>
  <c r="AB144" i="3" a="1"/>
  <c r="X238" i="3" a="1"/>
  <c r="R160" i="3" a="1"/>
  <c r="F231" i="3" a="1"/>
  <c r="C207" i="3" a="1"/>
  <c r="AD168" i="3" a="1"/>
  <c r="AD72" i="3" a="1"/>
  <c r="Y254" i="3" a="1"/>
  <c r="X164" i="3" a="1"/>
  <c r="Z117" i="3" a="1"/>
  <c r="O123" i="3" a="1"/>
  <c r="U112" i="3" a="1"/>
  <c r="J235" i="3" a="1"/>
  <c r="T161" i="3" a="1"/>
  <c r="U117" i="3" a="1"/>
  <c r="AA247" i="3" a="1"/>
  <c r="Q47" i="3" a="1"/>
  <c r="S171" i="3" a="1"/>
  <c r="AD34" i="3" a="1"/>
  <c r="AB22" i="3" a="1"/>
  <c r="K172" i="3" a="1"/>
  <c r="A200" i="3" a="1"/>
  <c r="L30" i="3" a="1"/>
  <c r="Y223" i="3" a="1"/>
  <c r="O235" i="3" a="1"/>
  <c r="AA106" i="3" a="1"/>
  <c r="W110" i="3" a="1"/>
  <c r="Z204" i="3" a="1"/>
  <c r="Q26" i="3" a="1"/>
  <c r="U105" i="3" a="1"/>
  <c r="AC45" i="3" a="1"/>
  <c r="AC27" i="3" a="1"/>
  <c r="O82" i="3" a="1"/>
  <c r="C187" i="3" a="1"/>
  <c r="A137" i="3" a="1"/>
  <c r="L207" i="3" a="1"/>
  <c r="Z151" i="3" a="1"/>
  <c r="B140" i="3" a="1"/>
  <c r="A134" i="3" a="1"/>
  <c r="J118" i="3" a="1"/>
  <c r="AA56" i="3" a="1"/>
  <c r="Y76" i="3" a="1"/>
  <c r="O181" i="3" a="1"/>
  <c r="J240" i="3" a="1"/>
  <c r="H69" i="3" a="1"/>
  <c r="G226" i="3" a="1"/>
  <c r="G58" i="3" a="1"/>
  <c r="AC208" i="3" a="1"/>
  <c r="A139" i="3" a="1"/>
  <c r="K234" i="3" a="1"/>
  <c r="E244" i="3" a="1"/>
  <c r="U142" i="3" a="1"/>
  <c r="T215" i="3" a="1"/>
  <c r="P225" i="3" a="1"/>
  <c r="O137" i="3" a="1"/>
  <c r="AA248" i="3" a="1"/>
  <c r="F131" i="3" a="1"/>
  <c r="W158" i="3" a="1"/>
  <c r="J198" i="3" a="1"/>
  <c r="AB137" i="3" a="1"/>
  <c r="U100" i="3" a="1"/>
  <c r="G242" i="3" a="1"/>
  <c r="G137" i="3" a="1"/>
  <c r="J140" i="3" a="1"/>
  <c r="B255" i="3" a="1"/>
  <c r="F6" i="3" a="1"/>
  <c r="AD193" i="3" a="1"/>
  <c r="B223" i="3" a="1"/>
  <c r="AC248" i="3" a="1"/>
  <c r="K97" i="3" a="1"/>
  <c r="U229" i="3" a="1"/>
  <c r="Q107" i="3" a="1"/>
  <c r="T163" i="3" a="1"/>
  <c r="A83" i="3" a="1"/>
  <c r="N164" i="3" a="1"/>
  <c r="U247" i="3" a="1"/>
  <c r="C105" i="3" a="1"/>
  <c r="U187" i="3" a="1"/>
  <c r="L176" i="3" a="1"/>
  <c r="U110" i="3" a="1"/>
  <c r="K176" i="3" a="1"/>
  <c r="AB62" i="3" a="1"/>
  <c r="E80" i="3" a="1"/>
  <c r="L55" i="3" a="1"/>
  <c r="AC225" i="3" a="1"/>
  <c r="F143" i="3" a="1"/>
  <c r="Z23" i="3" a="1"/>
  <c r="O195" i="3" a="1"/>
  <c r="D231" i="3" a="1"/>
  <c r="F106" i="3" a="1"/>
  <c r="O158" i="3" a="1"/>
  <c r="W156" i="3" a="1"/>
  <c r="B155" i="3" a="1"/>
  <c r="S238" i="3" a="1"/>
  <c r="Y156" i="3" a="1"/>
  <c r="AA54" i="3" a="1"/>
  <c r="T45" i="3" a="1"/>
  <c r="Q161" i="3" a="1"/>
  <c r="N70" i="3" a="1"/>
  <c r="M171" i="3" a="1"/>
  <c r="P249" i="3" a="1"/>
  <c r="Y84" i="3" a="1"/>
  <c r="R29" i="3" a="1"/>
  <c r="AD15" i="3" a="1"/>
  <c r="X142" i="3" a="1"/>
  <c r="R251" i="3" a="1"/>
  <c r="T241" i="3" a="1"/>
  <c r="H155" i="3" a="1"/>
  <c r="AD124" i="3" a="1"/>
  <c r="Z239" i="3" a="1"/>
  <c r="D235" i="3" a="1"/>
  <c r="Y38" i="3" a="1"/>
  <c r="Y241" i="3" a="1"/>
  <c r="M75" i="3" a="1"/>
  <c r="S169" i="3" a="1"/>
  <c r="H98" i="3" a="1"/>
  <c r="P91" i="3" a="1"/>
  <c r="B112" i="3" a="1"/>
  <c r="I136" i="3" a="1"/>
  <c r="K221" i="3" a="1"/>
  <c r="AD8" i="3" a="1"/>
  <c r="C201" i="3" a="1"/>
  <c r="S59" i="3" a="1"/>
  <c r="C83" i="3" a="1"/>
  <c r="AD214" i="3" a="1"/>
  <c r="M224" i="3" a="1"/>
  <c r="Z55" i="3" a="1"/>
  <c r="AC158" i="3" a="1"/>
  <c r="P33" i="3" a="1"/>
  <c r="I170" i="3" a="1"/>
  <c r="C46" i="3" a="1"/>
  <c r="P209" i="3" a="1"/>
  <c r="D195" i="3" a="1"/>
  <c r="S228" i="3" a="1"/>
  <c r="S165" i="3" a="1"/>
  <c r="A93" i="3" a="1"/>
  <c r="L38" i="3" a="1"/>
  <c r="H29" i="3" a="1"/>
  <c r="D130" i="3" a="1"/>
  <c r="AB97" i="3" a="1"/>
  <c r="U27" i="3" a="1"/>
  <c r="Q58" i="3" a="1"/>
  <c r="A151" i="3" a="1"/>
  <c r="I218" i="3" a="1"/>
  <c r="U89" i="3" a="1"/>
  <c r="AD33" i="3" a="1"/>
  <c r="AD4" i="3" a="1"/>
  <c r="Y22" i="3" a="1"/>
  <c r="M245" i="3" a="1"/>
  <c r="W142" i="3" a="1"/>
  <c r="Z181" i="3" a="1"/>
  <c r="S233" i="3" a="1"/>
  <c r="W86" i="3" a="1"/>
  <c r="K227" i="3" a="1"/>
  <c r="M72" i="3" a="1"/>
  <c r="F163" i="3" a="1"/>
  <c r="T224" i="3" a="1"/>
  <c r="AD171" i="3" a="1"/>
  <c r="C190" i="3" a="1"/>
  <c r="V19" i="3" a="1"/>
  <c r="F139" i="3" a="1"/>
  <c r="Z178" i="3" a="1"/>
  <c r="P223" i="3" a="1"/>
  <c r="L96" i="3" a="1"/>
  <c r="Y112" i="3" a="1"/>
  <c r="W96" i="3" a="1"/>
  <c r="AC141" i="3" a="1"/>
  <c r="Q3" i="3" a="1"/>
  <c r="AB237" i="3" a="1"/>
  <c r="R175" i="3" a="1"/>
  <c r="Q29" i="3" a="1"/>
  <c r="I167" i="3" a="1"/>
  <c r="O199" i="3" a="1"/>
  <c r="C198" i="3" a="1"/>
  <c r="F2" i="3" a="1"/>
  <c r="AC221" i="3" a="1"/>
  <c r="F79" i="3" a="1"/>
  <c r="G70" i="3" a="1"/>
  <c r="I34" i="3" a="1"/>
  <c r="Y203" i="3" a="1"/>
  <c r="AB157" i="3" a="1"/>
  <c r="L5" i="3" a="1"/>
  <c r="AB221" i="3" a="1"/>
  <c r="I108" i="3" a="1"/>
  <c r="AD242" i="3" a="1"/>
  <c r="D193" i="3" a="1"/>
  <c r="J59" i="3" a="1"/>
  <c r="AC152" i="3" a="1"/>
  <c r="C255" i="3" a="1"/>
  <c r="Z142" i="3" a="1"/>
  <c r="AB52" i="3" a="1"/>
  <c r="AC202" i="3" a="1"/>
  <c r="I13" i="3" a="1"/>
  <c r="O237" i="3" a="1"/>
  <c r="Y71" i="3" a="1"/>
  <c r="AD86" i="3" a="1"/>
  <c r="R234" i="3" a="1"/>
  <c r="T164" i="3" a="1"/>
  <c r="Z221" i="3" a="1"/>
  <c r="C147" i="3" a="1"/>
  <c r="AA202" i="3" a="1"/>
  <c r="C184" i="3" a="1"/>
  <c r="L175" i="3" a="1"/>
  <c r="U215" i="3" a="1"/>
  <c r="J67" i="3" a="1"/>
  <c r="J49" i="3" a="1"/>
  <c r="Q245" i="3" a="1"/>
  <c r="L204" i="3" a="1"/>
  <c r="AC62" i="3" a="1"/>
  <c r="G64" i="3" a="1"/>
  <c r="V237" i="3" a="1"/>
  <c r="H40" i="3" a="1"/>
  <c r="Y247" i="3" a="1"/>
  <c r="V252" i="3" a="1"/>
  <c r="S46" i="3" a="1"/>
  <c r="A84" i="3" a="1"/>
  <c r="AA149" i="3" a="1"/>
  <c r="F124" i="3" a="1"/>
  <c r="Y200" i="3" a="1"/>
  <c r="M138" i="3" a="1"/>
  <c r="F196" i="3" a="1"/>
  <c r="B212" i="3" a="1"/>
  <c r="Q251" i="3" a="1"/>
  <c r="C50" i="3" a="1"/>
  <c r="V226" i="3" a="1"/>
  <c r="K77" i="3" a="1"/>
  <c r="H204" i="3" a="1"/>
  <c r="A191" i="3" a="1"/>
  <c r="G140" i="3" a="1"/>
  <c r="U119" i="3" a="1"/>
  <c r="Q172" i="3" a="1"/>
  <c r="V133" i="3" a="1"/>
  <c r="D183" i="3" a="1"/>
  <c r="G147" i="3" a="1"/>
  <c r="H161" i="3" a="1"/>
  <c r="V255" i="3" a="1"/>
  <c r="N255" i="3" a="1"/>
  <c r="T177" i="3" a="1"/>
  <c r="T233" i="3" a="1"/>
  <c r="T102" i="3" a="1"/>
  <c r="AB215" i="3" a="1"/>
  <c r="AA108" i="3" a="1"/>
  <c r="AD220" i="3" a="1"/>
  <c r="V251" i="3" a="1"/>
  <c r="G54" i="3" a="1"/>
  <c r="Q84" i="3" a="1"/>
  <c r="A60" i="3" a="1"/>
  <c r="B116" i="3" a="1"/>
  <c r="V61" i="3" a="1"/>
  <c r="H4" i="3" a="1"/>
  <c r="AD150" i="3" a="1"/>
  <c r="B80" i="3" a="1"/>
  <c r="V217" i="3" a="1"/>
  <c r="H118" i="3" a="1"/>
  <c r="R165" i="3" a="1"/>
  <c r="H196" i="3" a="1"/>
  <c r="C125" i="3" a="1"/>
  <c r="L67" i="3" a="1"/>
  <c r="I54" i="3" a="1"/>
  <c r="X152" i="3" a="1"/>
  <c r="AB218" i="3" a="1"/>
  <c r="R68" i="3" a="1"/>
  <c r="B193" i="3" a="1"/>
  <c r="S247" i="3" a="1"/>
  <c r="F30" i="3" a="1"/>
  <c r="S86" i="3" a="1"/>
  <c r="O240" i="3" a="1"/>
  <c r="R58" i="3" a="1"/>
  <c r="S127" i="3" a="1"/>
  <c r="AD186" i="3" a="1"/>
  <c r="R61" i="3" a="1"/>
  <c r="C10" i="3" a="1"/>
  <c r="A210" i="3" a="1"/>
  <c r="N62" i="3" a="1"/>
  <c r="N254" i="3" a="1"/>
  <c r="AB154" i="3" a="1"/>
  <c r="U194" i="3" a="1"/>
  <c r="L51" i="3" a="1"/>
  <c r="K194" i="3" a="1"/>
  <c r="H94" i="3" a="1"/>
  <c r="A248" i="3" a="1"/>
  <c r="B141" i="3" a="1"/>
  <c r="N235" i="3" a="1"/>
  <c r="V148" i="3" a="1"/>
  <c r="W94" i="3" a="1"/>
  <c r="C167" i="3" a="1"/>
  <c r="AB213" i="3" a="1"/>
  <c r="N90" i="3" a="1"/>
  <c r="C5" i="3" a="1"/>
  <c r="U147" i="3" a="1"/>
  <c r="B18" i="3" a="1"/>
  <c r="C221" i="3" a="1"/>
  <c r="T106" i="3" a="1"/>
  <c r="A205" i="3" a="1"/>
  <c r="Q98" i="3" a="1"/>
  <c r="L4" i="3" a="1"/>
  <c r="W17" i="3" a="1"/>
  <c r="C88" i="3" a="1"/>
  <c r="X157" i="3" a="1"/>
  <c r="V209" i="3" a="1"/>
  <c r="L164" i="3" a="1"/>
  <c r="Y159" i="3" a="1"/>
  <c r="H166" i="3" a="1"/>
  <c r="F252" i="3" a="1"/>
  <c r="N107" i="3" a="1"/>
  <c r="K164" i="3" a="1"/>
  <c r="O37" i="3" a="1"/>
  <c r="AC114" i="3" a="1"/>
  <c r="F23" i="3" a="1"/>
  <c r="AC206" i="3" a="1"/>
  <c r="K144" i="3" a="1"/>
  <c r="C98" i="3" a="1"/>
  <c r="P226" i="3" a="1"/>
  <c r="R136" i="3" a="1"/>
  <c r="G32" i="3" a="1"/>
  <c r="AA98" i="3" a="1"/>
  <c r="M127" i="3" a="1"/>
  <c r="G177" i="3" a="1"/>
  <c r="Y213" i="3" a="1"/>
  <c r="I68" i="3" a="1"/>
  <c r="M77" i="3" a="1"/>
  <c r="S203" i="3" a="1"/>
  <c r="B3" i="3" a="1"/>
  <c r="W222" i="3" a="1"/>
  <c r="X81" i="3" a="1"/>
  <c r="W23" i="3" a="1"/>
  <c r="O241" i="3" a="1"/>
  <c r="I168" i="3" a="1"/>
  <c r="E250" i="3" a="1"/>
  <c r="W68" i="3" a="1"/>
  <c r="N35" i="3" a="1"/>
  <c r="I156" i="3" a="1"/>
  <c r="G68" i="3" a="1"/>
  <c r="AB35" i="3" a="1"/>
  <c r="L129" i="3" a="1"/>
  <c r="A178" i="3" a="1"/>
  <c r="H220" i="3" a="1"/>
  <c r="U136" i="3" a="1"/>
  <c r="M231" i="3" a="1"/>
  <c r="AD148" i="3" a="1"/>
  <c r="D70" i="3" a="1"/>
  <c r="AD74" i="3" a="1"/>
  <c r="Q254" i="3" a="1"/>
  <c r="Z145" i="3" a="1"/>
  <c r="E130" i="3" a="1"/>
  <c r="C143" i="3" a="1"/>
  <c r="AD89" i="3" a="1"/>
  <c r="U58" i="3" a="1"/>
  <c r="E197" i="3" a="1"/>
  <c r="B205" i="3" a="1"/>
  <c r="AD109" i="3" a="1"/>
  <c r="AA213" i="3" a="1"/>
  <c r="T243" i="3" a="1"/>
  <c r="E42" i="3" a="1"/>
  <c r="J76" i="3" a="1"/>
  <c r="G208" i="3" a="1"/>
  <c r="Z168" i="3" a="1"/>
  <c r="A144" i="3" a="1"/>
  <c r="D53" i="3" a="1"/>
  <c r="J27" i="3" a="1"/>
  <c r="I191" i="3" a="1"/>
  <c r="AC129" i="3" a="1"/>
  <c r="X94" i="3" a="1"/>
  <c r="C90" i="3" a="1"/>
  <c r="E44" i="3" a="1"/>
  <c r="AB96" i="3" a="1"/>
  <c r="W218" i="3" a="1"/>
  <c r="E56" i="3" a="1"/>
  <c r="T162" i="3" a="1"/>
  <c r="U30" i="3" a="1"/>
  <c r="B28" i="3" a="1"/>
  <c r="J26" i="3" a="1"/>
  <c r="J143" i="3" a="1"/>
  <c r="C200" i="3" a="1"/>
  <c r="AB252" i="3" a="1"/>
  <c r="Y150" i="3" a="1"/>
  <c r="U101" i="3" a="1"/>
  <c r="I205" i="3" a="1"/>
  <c r="AD54" i="3" a="1"/>
  <c r="AA111" i="3" a="1"/>
  <c r="AB184" i="3" a="1"/>
  <c r="R246" i="3" a="1"/>
  <c r="B93" i="3" a="1"/>
  <c r="B221" i="3" a="1"/>
  <c r="J115" i="3" a="1"/>
  <c r="G103" i="3" a="1"/>
  <c r="P141" i="3" a="1"/>
  <c r="T29" i="3" a="1"/>
  <c r="X236" i="3" a="1"/>
  <c r="I3" i="3" a="1"/>
  <c r="T167" i="3" a="1"/>
  <c r="T218" i="3" a="1"/>
  <c r="P111" i="3" a="1"/>
  <c r="W122" i="3" a="1"/>
  <c r="N34" i="3" a="1"/>
  <c r="U210" i="3" a="1"/>
  <c r="Y73" i="3" a="1"/>
  <c r="O162" i="3" a="1"/>
  <c r="Q160" i="3" a="1"/>
  <c r="X204" i="3" a="1"/>
  <c r="H73" i="3" a="1"/>
  <c r="Y196" i="3" a="1"/>
  <c r="B64" i="3" a="1"/>
  <c r="K139" i="3" a="1"/>
  <c r="O71" i="3" a="1"/>
  <c r="Z26" i="3" a="1"/>
  <c r="E164" i="3" a="1"/>
  <c r="U88" i="3" a="1"/>
  <c r="Q20" i="3" a="1"/>
  <c r="E123" i="3" a="1"/>
  <c r="I195" i="3" a="1"/>
  <c r="C233" i="3" a="1"/>
  <c r="Q118" i="3" a="1"/>
  <c r="Z213" i="3" a="1"/>
  <c r="F218" i="3" a="1"/>
  <c r="W104" i="3" a="1"/>
  <c r="T32" i="3" a="1"/>
  <c r="C166" i="3" a="1"/>
  <c r="C114" i="3" a="1"/>
  <c r="AD127" i="3" a="1"/>
  <c r="N24" i="3" a="1"/>
  <c r="AC53" i="3" a="1"/>
  <c r="G201" i="3" a="1"/>
  <c r="AA207" i="3" a="1"/>
  <c r="M132" i="3" a="1"/>
  <c r="F200" i="3" a="1"/>
  <c r="Z196" i="3" a="1"/>
  <c r="T23" i="3" a="1"/>
  <c r="V250" i="3" a="1"/>
  <c r="L150" i="3" a="1"/>
  <c r="T190" i="3" a="1"/>
  <c r="V241" i="3" a="1"/>
  <c r="C144" i="3" a="1"/>
  <c r="AC143" i="3" a="1"/>
  <c r="M204" i="3" a="1"/>
  <c r="Q246" i="3" a="1"/>
  <c r="F91" i="3" a="1"/>
  <c r="U192" i="3" a="1"/>
  <c r="A213" i="3" a="1"/>
  <c r="U166" i="3" a="1"/>
  <c r="AD191" i="3" a="1"/>
  <c r="I175" i="3" a="1"/>
  <c r="L217" i="3" a="1"/>
  <c r="L197" i="3" a="1"/>
  <c r="G155" i="3" a="1"/>
  <c r="K50" i="3" a="1"/>
  <c r="J77" i="3" a="1"/>
  <c r="L128" i="3" a="1"/>
  <c r="B195" i="3" a="1"/>
  <c r="J69" i="3" a="1"/>
  <c r="A122" i="3" a="1"/>
  <c r="AB27" i="3" a="1"/>
  <c r="C116" i="3" a="1"/>
  <c r="U191" i="3" a="1"/>
  <c r="AA221" i="3" a="1"/>
  <c r="V99" i="3" a="1"/>
  <c r="AA156" i="3" a="1"/>
  <c r="J221" i="3" a="1"/>
  <c r="Z115" i="3" a="1"/>
  <c r="A118" i="3" a="1"/>
  <c r="J223" i="3" a="1"/>
  <c r="C27" i="3" a="1"/>
  <c r="F175" i="3" a="1"/>
  <c r="R245" i="3" a="1"/>
  <c r="Q17" i="3" a="1"/>
  <c r="X235" i="3" a="1"/>
  <c r="Q78" i="3" a="1"/>
  <c r="AB92" i="3" a="1"/>
  <c r="O169" i="3" a="1"/>
  <c r="D111" i="3" a="1"/>
  <c r="W159" i="3" a="1"/>
  <c r="Q97" i="3" a="1"/>
  <c r="R153" i="3" a="1"/>
  <c r="C173" i="3" a="1"/>
  <c r="V45" i="3" a="1"/>
  <c r="Q32" i="3" a="1"/>
  <c r="AC5" i="3" a="1"/>
  <c r="M149" i="3" a="1"/>
  <c r="M130" i="3" a="1"/>
  <c r="V12" i="3" a="1"/>
  <c r="W185" i="3" a="1"/>
  <c r="Q250" i="3" a="1"/>
  <c r="AB254" i="3" a="1"/>
  <c r="A160" i="3" a="1"/>
  <c r="R151" i="3" a="1"/>
  <c r="G156" i="3" a="1"/>
  <c r="U124" i="3" a="1"/>
  <c r="Y238" i="3" a="1"/>
  <c r="O74" i="3" a="1"/>
  <c r="Y26" i="3" a="1"/>
  <c r="X211" i="3" a="1"/>
  <c r="G166" i="3" a="1"/>
  <c r="S142" i="3" a="1"/>
  <c r="O35" i="3" a="1"/>
  <c r="Z64" i="3" a="1"/>
  <c r="T88" i="3" a="1"/>
  <c r="N112" i="3" a="1"/>
  <c r="I157" i="3" a="1"/>
  <c r="T173" i="3" a="1"/>
  <c r="C6" i="3" a="1"/>
  <c r="J96" i="3" a="1"/>
  <c r="F222" i="3" a="1"/>
  <c r="S76" i="3" a="1"/>
  <c r="C99" i="3" a="1"/>
  <c r="E237" i="3" a="1"/>
  <c r="B248" i="3" a="1"/>
  <c r="H141" i="3" a="1"/>
  <c r="H174" i="3" a="1"/>
  <c r="V193" i="3" a="1"/>
  <c r="N72" i="3" a="1"/>
  <c r="P204" i="3" a="1"/>
  <c r="X76" i="3" a="1"/>
  <c r="F97" i="3" a="1"/>
  <c r="AC77" i="3" a="1"/>
  <c r="X179" i="3" a="1"/>
  <c r="L69" i="3" a="1"/>
  <c r="J58" i="3" a="1"/>
  <c r="L252" i="3" a="1"/>
  <c r="H218" i="3" a="1"/>
  <c r="Y100" i="3" a="1"/>
  <c r="I164" i="3" a="1"/>
  <c r="AC55" i="3" a="1"/>
  <c r="R47" i="3" a="1"/>
  <c r="I51" i="3" a="1"/>
  <c r="G176" i="3" a="1"/>
  <c r="AB255" i="3" a="1"/>
  <c r="U96" i="3" a="1"/>
  <c r="X123" i="3" a="1"/>
  <c r="H222" i="3" a="1"/>
  <c r="N207" i="3" a="1"/>
  <c r="S245" i="3" a="1"/>
  <c r="G76" i="3" a="1"/>
  <c r="H16" i="3" a="1"/>
  <c r="G254" i="3" a="1"/>
  <c r="R240" i="3" a="1"/>
  <c r="AA24" i="3" a="1"/>
  <c r="G117" i="3" a="1"/>
  <c r="C28" i="3" a="1"/>
  <c r="K120" i="3" a="1"/>
  <c r="A201" i="3" a="1"/>
  <c r="AA113" i="3" a="1"/>
  <c r="B222" i="3" a="1"/>
  <c r="V151" i="3" a="1"/>
  <c r="B65" i="3" a="1"/>
  <c r="Z19" i="3" a="1"/>
  <c r="K135" i="3" a="1"/>
  <c r="AA65" i="3" a="1"/>
  <c r="AD84" i="3" a="1"/>
  <c r="O193" i="3" a="1"/>
  <c r="C13" i="3" a="1"/>
  <c r="AC239" i="3" a="1"/>
  <c r="AD165" i="3" a="1"/>
  <c r="Q247" i="3" a="1"/>
  <c r="F160" i="3" a="1"/>
  <c r="S77" i="3" a="1"/>
  <c r="AD230" i="3" a="1"/>
  <c r="J111" i="3" a="1"/>
  <c r="Y229" i="3" a="1"/>
  <c r="E65" i="3" a="1"/>
  <c r="W45" i="3" a="1"/>
  <c r="U152" i="3" a="1"/>
  <c r="Z106" i="3" a="1"/>
  <c r="G33" i="3" a="1"/>
  <c r="L148" i="3" a="1"/>
  <c r="D202" i="3" a="1"/>
  <c r="AC216" i="3" a="1"/>
  <c r="M34" i="3" a="1"/>
  <c r="V123" i="3" a="1"/>
  <c r="G79" i="3" a="1"/>
  <c r="J181" i="3" a="1"/>
  <c r="AB220" i="3" a="1"/>
  <c r="Y111" i="3" a="1"/>
  <c r="Q99" i="3" a="1"/>
  <c r="B206" i="3" a="1"/>
  <c r="G116" i="3" a="1"/>
  <c r="T174" i="3" a="1"/>
  <c r="T44" i="3" a="1"/>
  <c r="Y48" i="3" a="1"/>
  <c r="N200" i="3" a="1"/>
  <c r="X167" i="3" a="1"/>
  <c r="AD161" i="3" a="1"/>
  <c r="N6" i="3" a="1"/>
  <c r="H107" i="3" a="1"/>
  <c r="F161" i="3" a="1"/>
  <c r="K155" i="3" a="1"/>
  <c r="AC228" i="3" a="1"/>
  <c r="J192" i="3" a="1"/>
  <c r="AD245" i="3" a="1"/>
  <c r="O216" i="3" a="1"/>
  <c r="P185" i="3" a="1"/>
  <c r="AB12" i="3" a="1"/>
  <c r="AB50" i="3" a="1"/>
  <c r="AC164" i="3" a="1"/>
  <c r="R85" i="3" a="1"/>
  <c r="U67" i="3" a="1"/>
  <c r="E216" i="3" a="1"/>
  <c r="V142" i="3" a="1"/>
  <c r="C106" i="3" a="1"/>
  <c r="Q110" i="3" a="1"/>
  <c r="F104" i="3" a="1"/>
  <c r="X101" i="3" a="1"/>
  <c r="H195" i="3" a="1"/>
  <c r="O186" i="3" a="1"/>
  <c r="H68" i="3" a="1"/>
  <c r="V126" i="3" a="1"/>
  <c r="H187" i="3" a="1"/>
  <c r="L190" i="3" a="1"/>
  <c r="C180" i="3" a="1"/>
  <c r="Z125" i="3" a="1"/>
  <c r="K113" i="3" a="1"/>
  <c r="Z238" i="3" a="1"/>
  <c r="X107" i="3" a="1"/>
  <c r="H208" i="3" a="1"/>
  <c r="Y95" i="3" a="1"/>
  <c r="W173" i="3" a="1"/>
  <c r="X182" i="3" a="1"/>
  <c r="R202" i="3" a="1"/>
  <c r="X103" i="3" a="1"/>
  <c r="P227" i="3" a="1"/>
  <c r="H102" i="3" a="1"/>
  <c r="I118" i="3" a="1"/>
  <c r="D213" i="3" a="1"/>
  <c r="Q34" i="3" a="1"/>
  <c r="V221" i="3" a="1"/>
  <c r="A26" i="3" a="1"/>
  <c r="V115" i="3" a="1"/>
  <c r="K231" i="3" a="1"/>
  <c r="AC217" i="3" a="1"/>
  <c r="AB91" i="3" a="1"/>
  <c r="Y228" i="3" a="1"/>
  <c r="X185" i="3" a="1"/>
  <c r="G53" i="3" a="1"/>
  <c r="L239" i="3" a="1"/>
  <c r="M111" i="3" a="1"/>
  <c r="N194" i="3" a="1"/>
  <c r="P180" i="3" a="1"/>
  <c r="U153" i="3" a="1"/>
  <c r="I131" i="3" a="1"/>
  <c r="I127" i="3" a="1"/>
  <c r="U90" i="3" a="1"/>
  <c r="U242" i="3" a="1"/>
  <c r="E207" i="3" a="1"/>
  <c r="P234" i="3" a="1"/>
  <c r="R166" i="3" a="1"/>
  <c r="AC233" i="3" a="1"/>
  <c r="U183" i="3" a="1"/>
  <c r="AC159" i="3" a="1"/>
  <c r="J70" i="3" a="1"/>
  <c r="AA161" i="3" a="1"/>
  <c r="AC72" i="3" a="1"/>
  <c r="U128" i="3" a="1"/>
  <c r="Q214" i="3" a="1"/>
  <c r="E212" i="3" a="1"/>
  <c r="U151" i="3" a="1"/>
  <c r="F15" i="3" a="1"/>
  <c r="M24" i="3" a="1"/>
  <c r="I109" i="3" a="1"/>
  <c r="H122" i="3" a="1"/>
  <c r="E249" i="3" a="1"/>
  <c r="Z24" i="3" a="1"/>
  <c r="AA59" i="3" a="1"/>
  <c r="Z251" i="3" a="1"/>
  <c r="AD100" i="3" a="1"/>
  <c r="H251" i="3" a="1"/>
  <c r="J5" i="3" a="1"/>
  <c r="S216" i="3" a="1"/>
  <c r="AD139" i="3" a="1"/>
  <c r="R20" i="3" a="1"/>
  <c r="R2" i="2" a="1"/>
  <c r="J35" i="3" a="1"/>
  <c r="J200" i="3" a="1"/>
  <c r="J252" i="3" a="1"/>
  <c r="C141" i="3" a="1"/>
  <c r="Q139" i="3" a="1"/>
  <c r="S62" i="3" a="1"/>
  <c r="J231" i="3" a="1"/>
  <c r="AA61" i="3" a="1"/>
  <c r="AD9" i="3" a="1"/>
  <c r="L36" i="3" a="1"/>
  <c r="AA193" i="3" a="1"/>
  <c r="B214" i="3" a="1"/>
  <c r="B245" i="3" a="1"/>
  <c r="AA31" i="3" a="1"/>
  <c r="AD37" i="3" a="1"/>
  <c r="K53" i="3" a="1"/>
  <c r="V39" i="3" a="1"/>
  <c r="E52" i="3" a="1"/>
  <c r="Y78" i="3" a="1"/>
  <c r="V223" i="3" a="1"/>
  <c r="K186" i="3" a="1"/>
  <c r="AC223" i="3" a="1"/>
  <c r="Z33" i="3" a="1"/>
  <c r="W182" i="3" a="1"/>
  <c r="H173" i="3" a="1"/>
  <c r="S135" i="3" a="1"/>
  <c r="N141" i="3" a="1"/>
  <c r="U188" i="3" a="1"/>
  <c r="R120" i="3" a="1"/>
  <c r="W140" i="3" a="1"/>
  <c r="H138" i="3" a="1"/>
  <c r="E241" i="3" a="1"/>
  <c r="AB108" i="3" a="1"/>
  <c r="AA130" i="3" a="1"/>
  <c r="AD53" i="3" a="1"/>
  <c r="N192" i="3" a="1"/>
  <c r="G229" i="3" a="1"/>
  <c r="AA159" i="3" a="1"/>
  <c r="B35" i="3" a="1"/>
  <c r="V225" i="3" a="1"/>
  <c r="W126" i="3" a="1"/>
  <c r="V184" i="3" a="1"/>
  <c r="H134" i="3" a="1"/>
  <c r="D219" i="3" a="1"/>
  <c r="AD49" i="3" a="1"/>
  <c r="T220" i="3" a="1"/>
  <c r="T35" i="3" a="1"/>
  <c r="H117" i="3" a="1"/>
  <c r="I37" i="3" a="1"/>
  <c r="Z112" i="3" a="1"/>
  <c r="E193" i="3" a="1"/>
  <c r="M166" i="3" a="1"/>
  <c r="E223" i="3" a="1"/>
  <c r="D25" i="3" a="1"/>
  <c r="D250" i="3" a="1"/>
  <c r="R248" i="3" a="1"/>
  <c r="AD215" i="3" a="1"/>
  <c r="C224" i="3" a="1"/>
  <c r="J12" i="3" a="1"/>
  <c r="F136" i="3" a="1"/>
  <c r="AD152" i="3" a="1"/>
  <c r="Z71" i="3" a="1"/>
  <c r="U234" i="3" a="1"/>
  <c r="K5" i="3" a="1"/>
  <c r="H181" i="3" a="1"/>
  <c r="U99" i="3" a="1"/>
  <c r="H75" i="3" a="1"/>
  <c r="P174" i="3" a="1"/>
  <c r="N221" i="3" a="1"/>
  <c r="J167" i="3" a="1"/>
  <c r="U160" i="3" a="1"/>
  <c r="J226" i="3" a="1"/>
  <c r="J122" i="3" a="1"/>
  <c r="AC135" i="3" a="1"/>
  <c r="W188" i="3" a="1"/>
  <c r="K4" i="3" a="1"/>
  <c r="U92" i="3" a="1"/>
  <c r="P125" i="3" a="1"/>
  <c r="Z25" i="3" a="1"/>
  <c r="T47" i="3" a="1"/>
  <c r="C204" i="3" a="1"/>
  <c r="Z188" i="3" a="1"/>
  <c r="U227" i="3" a="1"/>
  <c r="J62" i="3" a="1"/>
  <c r="Q36" i="3" a="1"/>
  <c r="U196" i="3" a="1"/>
  <c r="V192" i="3" a="1"/>
  <c r="H144" i="3" a="1"/>
  <c r="V219" i="3" a="1"/>
  <c r="T97" i="3" a="1"/>
  <c r="P73" i="3" a="1"/>
  <c r="I105" i="3" a="1"/>
  <c r="AC166" i="3" a="1"/>
  <c r="O32" i="3" a="1"/>
  <c r="P55" i="3" a="1"/>
  <c r="X7" i="3" a="1"/>
  <c r="V60" i="3" a="1"/>
  <c r="H125" i="3" a="1"/>
  <c r="P122" i="3" a="1"/>
  <c r="B226" i="3" a="1"/>
  <c r="U46" i="3" a="1"/>
  <c r="B2" i="3" a="1"/>
  <c r="N39" i="3" a="1"/>
  <c r="V108" i="3" a="1"/>
  <c r="V234" i="3" a="1"/>
  <c r="Y151" i="3" a="1"/>
  <c r="L104" i="3" a="1"/>
  <c r="AC173" i="3" a="1"/>
  <c r="Z92" i="3" a="1"/>
  <c r="N167" i="3" a="1"/>
  <c r="G215" i="3" a="1"/>
  <c r="Y204" i="3" a="1"/>
  <c r="Y240" i="3" a="1"/>
  <c r="O59" i="3" a="1"/>
  <c r="S112" i="3" a="1"/>
  <c r="W250" i="3" a="1"/>
  <c r="X79" i="3" a="1"/>
  <c r="Y37" i="3" a="1"/>
  <c r="Q111" i="3" a="1"/>
  <c r="AD146" i="3" a="1"/>
  <c r="V132" i="3" a="1"/>
  <c r="AD174" i="3" a="1"/>
  <c r="AD56" i="3" a="1"/>
  <c r="C239" i="3" a="1"/>
  <c r="B139" i="3" a="1"/>
  <c r="T54" i="3" a="1"/>
  <c r="AD218" i="3" a="1"/>
  <c r="N85" i="3" a="1"/>
  <c r="L132" i="3" a="1"/>
  <c r="N147" i="3" a="1"/>
  <c r="P118" i="3" a="1"/>
  <c r="H221" i="3" a="1"/>
  <c r="G14" i="3" a="1"/>
  <c r="L103" i="3" a="1"/>
  <c r="AC133" i="3" a="1"/>
  <c r="C56" i="3" a="1"/>
  <c r="K68" i="3" a="1"/>
  <c r="H48" i="3" a="1"/>
  <c r="Y114" i="3" a="1"/>
  <c r="AC182" i="3" a="1"/>
  <c r="I230" i="3" a="1"/>
  <c r="I185" i="3" a="1"/>
  <c r="AD255" i="3" a="1"/>
  <c r="E186" i="3" a="1"/>
  <c r="W239" i="3" a="1"/>
  <c r="X34" i="3" a="1"/>
  <c r="V253" i="3" a="1"/>
  <c r="H226" i="3" a="1"/>
  <c r="U118" i="3" a="1"/>
  <c r="Q33" i="3" a="1"/>
  <c r="I121" i="3" a="1"/>
  <c r="C210" i="3" a="1"/>
  <c r="E138" i="3" a="1"/>
  <c r="T143" i="3" a="1"/>
  <c r="G154" i="3" a="1"/>
  <c r="H15" i="3" a="1"/>
  <c r="Y65" i="3" a="1"/>
  <c r="W136" i="3" a="1"/>
  <c r="B59" i="3" a="1"/>
  <c r="J169" i="3" a="1"/>
  <c r="N136" i="3" a="1"/>
  <c r="AD219" i="3" a="1"/>
  <c r="A57" i="3" a="1"/>
  <c r="Q123" i="3" a="1"/>
  <c r="O236" i="3" a="1"/>
  <c r="I56" i="3" a="1"/>
  <c r="K209" i="3" a="1"/>
  <c r="Z161" i="3" a="1"/>
  <c r="I241" i="3" a="1"/>
  <c r="L89" i="3" a="1"/>
  <c r="E67" i="3" a="1"/>
  <c r="X56" i="3" a="1"/>
  <c r="J207" i="3" a="1"/>
  <c r="AD182" i="3" a="1"/>
  <c r="R149" i="3" a="1"/>
  <c r="B153" i="3" a="1"/>
  <c r="AD247" i="3" a="1"/>
  <c r="F75" i="3" a="1"/>
  <c r="D234" i="3" a="1"/>
  <c r="A198" i="3" a="1"/>
  <c r="Q186" i="3" a="1"/>
  <c r="I169" i="3" a="1"/>
  <c r="AA179" i="3" a="1"/>
  <c r="C103" i="3" a="1"/>
  <c r="T18" i="3" a="1"/>
  <c r="E251" i="3" a="1"/>
  <c r="R75" i="3" a="1"/>
  <c r="A106" i="3" a="1"/>
  <c r="P52" i="3" a="1"/>
  <c r="E185" i="3" a="1"/>
  <c r="S2" i="3" a="1"/>
  <c r="S53" i="3" a="1"/>
  <c r="H88" i="3" a="1"/>
  <c r="U255" i="3" a="1"/>
  <c r="A204" i="3" a="1"/>
  <c r="K207" i="3" a="1"/>
  <c r="F49" i="3" a="1"/>
  <c r="F3" i="3" a="1"/>
  <c r="X16" i="3" a="1"/>
  <c r="E174" i="3" a="1"/>
  <c r="H157" i="3" a="1"/>
  <c r="S45" i="3" a="1"/>
  <c r="X64" i="3" a="1"/>
  <c r="N42" i="3" a="1"/>
  <c r="AB48" i="3" a="1"/>
  <c r="J195" i="3" a="1"/>
  <c r="F129" i="3" a="1"/>
  <c r="AD198" i="3" a="1"/>
  <c r="AC153" i="3" a="1"/>
  <c r="AC123" i="3" a="1"/>
  <c r="H209" i="3" a="1"/>
  <c r="Y208" i="3" a="1"/>
  <c r="J64" i="3" a="1"/>
  <c r="F41" i="3" a="1"/>
  <c r="X127" i="3" a="1"/>
  <c r="AD24" i="3" a="1"/>
  <c r="N143" i="3" a="1"/>
  <c r="AC125" i="3" a="1"/>
  <c r="W220" i="3" a="1"/>
  <c r="A177" i="3" a="1"/>
  <c r="Y92" i="3" a="1"/>
  <c r="T245" i="3" a="1"/>
  <c r="U138" i="3" a="1"/>
  <c r="W146" i="3" a="1"/>
  <c r="C68" i="3" a="1"/>
  <c r="P46" i="3" a="1"/>
  <c r="N65" i="3" a="1"/>
  <c r="AB207" i="3" a="1"/>
  <c r="B217" i="3" a="1"/>
  <c r="K95" i="3" a="1"/>
  <c r="AA66" i="3" a="1"/>
  <c r="AA50" i="3" a="1"/>
  <c r="S63" i="3" a="1"/>
  <c r="Z226" i="3" a="1"/>
  <c r="Y167" i="3" a="1"/>
  <c r="M110" i="3" a="1"/>
  <c r="S89" i="3" a="1"/>
  <c r="W191" i="3" a="1"/>
  <c r="E53" i="3" a="1"/>
  <c r="V49" i="3" a="1"/>
  <c r="A221" i="3" a="1"/>
  <c r="Z136" i="3" a="1"/>
  <c r="M69" i="3" a="1"/>
  <c r="F82" i="3" a="1"/>
  <c r="J254" i="3" a="1"/>
  <c r="R194" i="3" a="1"/>
  <c r="W57" i="3" a="1"/>
  <c r="V40" i="3" a="1"/>
  <c r="P198" i="3" a="1"/>
  <c r="M66" i="3" a="1"/>
  <c r="W170" i="3" a="1"/>
  <c r="T170" i="3" a="1"/>
  <c r="M90" i="3" a="1"/>
  <c r="A233" i="3" a="1"/>
  <c r="I33" i="3" a="1"/>
  <c r="C225" i="3" a="1"/>
  <c r="Z93" i="3" a="1"/>
  <c r="AC37" i="3" a="1"/>
  <c r="D197" i="3" a="1"/>
  <c r="AA40" i="3" a="1"/>
  <c r="Y255" i="3" a="1"/>
  <c r="F205" i="3" a="1"/>
  <c r="B48" i="3" a="1"/>
  <c r="AA134" i="3" a="1"/>
  <c r="T196" i="3" a="1"/>
  <c r="AA245" i="3" a="1"/>
  <c r="S6" i="3" a="1"/>
  <c r="L123" i="3" a="1"/>
  <c r="U64" i="3" a="1"/>
  <c r="C49" i="3" a="1"/>
  <c r="N4" i="3" a="1"/>
  <c r="G80" i="3" a="1"/>
  <c r="N37" i="3" a="1"/>
  <c r="Z10" i="3" a="1"/>
  <c r="Q238" i="3" a="1"/>
  <c r="L145" i="3" a="1"/>
  <c r="AA43" i="3" a="1"/>
  <c r="H186" i="3" a="1"/>
  <c r="K62" i="3" a="1"/>
  <c r="S73" i="3" a="1"/>
  <c r="J45" i="3" a="1"/>
  <c r="G78" i="3" a="1"/>
  <c r="U60" i="3" a="1"/>
  <c r="P97" i="3" a="1"/>
  <c r="AD170" i="3" a="1"/>
  <c r="AC137" i="3" a="1"/>
  <c r="U186" i="3" a="1"/>
  <c r="AC245" i="3" a="1"/>
  <c r="J196" i="3" a="1"/>
  <c r="AC162" i="3" a="1"/>
  <c r="M209" i="3" a="1"/>
  <c r="M222" i="3" a="1"/>
  <c r="W149" i="3" a="1"/>
  <c r="D144" i="3" a="1"/>
  <c r="Y125" i="3" a="1"/>
  <c r="D83" i="3" a="1"/>
  <c r="Y219" i="3" a="1"/>
  <c r="AC73" i="3" a="1"/>
  <c r="B124" i="3" a="1"/>
  <c r="A190" i="3" a="1"/>
  <c r="Q213" i="3" a="1"/>
  <c r="S249" i="3" a="1"/>
  <c r="W133" i="3" a="1"/>
  <c r="K173" i="3" a="1"/>
  <c r="AD65" i="3" a="1"/>
  <c r="T53" i="3" a="1"/>
  <c r="AB67" i="3" a="1"/>
  <c r="C71" i="3" a="1"/>
  <c r="AB49" i="3" a="1"/>
  <c r="AA143" i="3" a="1"/>
  <c r="V233" i="3" a="1"/>
  <c r="I29" i="3" a="1"/>
  <c r="AC237" i="3" a="1"/>
  <c r="I149" i="3" a="1"/>
  <c r="Q86" i="3" a="1"/>
  <c r="AA162" i="3" a="1"/>
  <c r="E141" i="3" a="1"/>
  <c r="AC47" i="3" a="1"/>
  <c r="U42" i="3" a="1"/>
  <c r="J138" i="3" a="1"/>
  <c r="L72" i="3" a="1"/>
  <c r="C153" i="3" a="1"/>
  <c r="Q158" i="3" a="1"/>
  <c r="AC163" i="3" a="1"/>
  <c r="B211" i="3" a="1"/>
  <c r="Z20" i="3" a="1"/>
  <c r="F141" i="3" a="1"/>
  <c r="AD45" i="3" a="1"/>
  <c r="M159" i="3" a="1"/>
  <c r="AD176" i="3" a="1"/>
  <c r="U224" i="3" a="1"/>
  <c r="AA158" i="3" a="1"/>
  <c r="O229" i="3" a="1"/>
  <c r="S211" i="3" a="1"/>
  <c r="T79" i="3" a="1"/>
  <c r="F210" i="3" a="1"/>
  <c r="AB101" i="3" a="1"/>
  <c r="R110" i="3" a="1"/>
  <c r="T127" i="3" a="1"/>
  <c r="AA110" i="3" a="1"/>
  <c r="F55" i="3" a="1"/>
  <c r="L14" i="3" a="1"/>
  <c r="V254" i="3" a="1"/>
  <c r="G235" i="3" a="1"/>
  <c r="Q12" i="3" a="1"/>
  <c r="M82" i="3" a="1"/>
  <c r="U180" i="3" a="1"/>
  <c r="C172" i="3" a="1"/>
  <c r="K89" i="3" a="1"/>
  <c r="M208" i="3" a="1"/>
  <c r="P115" i="3" a="1"/>
  <c r="H127" i="3" a="1"/>
  <c r="T216" i="3" a="1"/>
  <c r="N67" i="3" a="1"/>
  <c r="AC181" i="3" a="1"/>
  <c r="S186" i="3" a="1"/>
  <c r="AC106" i="3" a="1"/>
  <c r="G109" i="3" a="1"/>
  <c r="N186" i="3" a="1"/>
  <c r="Z82" i="3" a="1"/>
  <c r="W195" i="3" a="1"/>
  <c r="I72" i="3" a="1"/>
  <c r="L136" i="3" a="1"/>
  <c r="U155" i="3" a="1"/>
  <c r="G230" i="3" a="1"/>
  <c r="S42" i="3" a="1"/>
  <c r="S102" i="3" a="1"/>
  <c r="P85" i="3" a="1"/>
  <c r="B157" i="3" a="1"/>
  <c r="W6" i="3" a="1"/>
  <c r="P221" i="3" a="1"/>
  <c r="D113" i="3" a="1"/>
  <c r="X41" i="3" a="1"/>
  <c r="B30" i="3" a="1"/>
  <c r="C252" i="3" a="1"/>
  <c r="AB82" i="3" a="1"/>
  <c r="J8" i="3" a="1"/>
  <c r="U50" i="3" a="1"/>
  <c r="AD98" i="3" a="1"/>
  <c r="M238" i="3" a="1"/>
  <c r="E121" i="3" a="1"/>
  <c r="C21" i="3" a="1"/>
  <c r="K52" i="3" a="1"/>
  <c r="W115" i="3" a="1"/>
  <c r="X83" i="3" a="1"/>
  <c r="P159" i="3" a="1"/>
  <c r="H79" i="3" a="1"/>
  <c r="Q127" i="3" a="1"/>
  <c r="F198" i="3" a="1"/>
  <c r="Y7" i="3" a="1"/>
  <c r="S82" i="3" a="1"/>
  <c r="AC109" i="3" a="1"/>
  <c r="E107" i="3" a="1"/>
  <c r="D229" i="3" a="1"/>
  <c r="P65" i="3" a="1"/>
  <c r="AD68" i="3" a="1"/>
  <c r="A98" i="3" a="1"/>
  <c r="L44" i="3" a="1"/>
  <c r="M21" i="3" a="1"/>
  <c r="H231" i="3" a="1"/>
  <c r="Z37" i="3" a="1"/>
  <c r="B67" i="3" a="1"/>
  <c r="Z110" i="3" a="1"/>
  <c r="P10" i="3" a="1"/>
  <c r="AB72" i="3" a="1"/>
  <c r="N217" i="3" a="1"/>
  <c r="J187" i="3" a="1"/>
  <c r="AB61" i="3" a="1"/>
  <c r="X237" i="3" a="1"/>
  <c r="M136" i="3" a="1"/>
  <c r="L7" i="3" a="1"/>
  <c r="Z197" i="3" a="1"/>
  <c r="L205" i="3" a="1"/>
  <c r="J164" i="3" a="1"/>
  <c r="I255" i="3" a="1"/>
  <c r="K93" i="3" a="1"/>
  <c r="D60" i="3" a="1"/>
  <c r="AA112" i="3" a="1"/>
  <c r="F165" i="3" a="1"/>
  <c r="V211" i="3" a="1"/>
  <c r="C38" i="3" a="1"/>
  <c r="D155" i="3" a="1"/>
  <c r="O95" i="3" a="1"/>
  <c r="C206" i="3" a="1"/>
  <c r="C72" i="3" a="1"/>
  <c r="N29" i="3" a="1"/>
  <c r="T229" i="3" a="1"/>
  <c r="S40" i="3" a="1"/>
  <c r="G247" i="3" a="1"/>
  <c r="A176" i="3" a="1"/>
  <c r="T82" i="3" a="1"/>
  <c r="J251" i="3" a="1"/>
  <c r="N178" i="3" a="1"/>
  <c r="Z163" i="3" a="1"/>
  <c r="AB70" i="3" a="1"/>
  <c r="N140" i="3" a="1"/>
  <c r="P158" i="3" a="1"/>
  <c r="AB188" i="3" a="1"/>
  <c r="C97" i="3" a="1"/>
  <c r="O112" i="3" a="1"/>
  <c r="S74" i="3" a="1"/>
  <c r="L233" i="3" a="1"/>
  <c r="AD228" i="3" a="1"/>
  <c r="Y190" i="3" a="1"/>
  <c r="AB151" i="3" a="1"/>
  <c r="I38" i="3" a="1"/>
  <c r="K106" i="3" a="1"/>
  <c r="U6" i="3" a="1"/>
  <c r="J215" i="3" a="1"/>
  <c r="I102" i="3" a="1"/>
  <c r="P2" i="3" a="1"/>
  <c r="AB73" i="3" a="1"/>
  <c r="U61" i="3" a="1"/>
  <c r="B201" i="3" a="1"/>
  <c r="P206" i="3" a="1"/>
  <c r="M105" i="3" a="1"/>
  <c r="C211" i="3" a="1"/>
  <c r="A81" i="3" a="1"/>
  <c r="U111" i="3" a="1"/>
  <c r="D59" i="3" a="1"/>
  <c r="D246" i="3" a="1"/>
  <c r="A80" i="3" a="1"/>
  <c r="H131" i="3" a="1"/>
  <c r="O215" i="3" a="1"/>
  <c r="AD205" i="3" a="1"/>
  <c r="AB191" i="3" a="1"/>
  <c r="W21" i="3" a="1"/>
  <c r="S131" i="3" a="1"/>
  <c r="O248" i="3" a="1"/>
  <c r="AB30" i="3" a="1"/>
  <c r="AC134" i="3" a="1"/>
  <c r="AA167" i="3" a="1"/>
  <c r="W43" i="3" a="1"/>
  <c r="AA169" i="3" a="1"/>
  <c r="J36" i="3" a="1"/>
  <c r="K156" i="3" a="1"/>
  <c r="Q176" i="3" a="1"/>
  <c r="U71" i="3" a="1"/>
  <c r="K211" i="3" a="1"/>
  <c r="F228" i="3" a="1"/>
  <c r="C235" i="3" a="1"/>
  <c r="AA150" i="3" a="1"/>
  <c r="E189" i="3" a="1"/>
  <c r="C132" i="3" a="1"/>
  <c r="Y199" i="3" a="1"/>
  <c r="B209" i="3" a="1"/>
  <c r="B194" i="3" a="1"/>
  <c r="AB156" i="3" a="1"/>
  <c r="F112" i="3" a="1"/>
  <c r="V216" i="3" a="1"/>
  <c r="U122" i="3" a="1"/>
  <c r="A79" i="3" a="1"/>
  <c r="Z5" i="3" a="1"/>
  <c r="J141" i="3" a="1"/>
  <c r="X224" i="3" a="1"/>
  <c r="T120" i="3" a="1"/>
  <c r="I106" i="3" a="1"/>
  <c r="Y55" i="3" a="1"/>
  <c r="AB195" i="3" a="1"/>
  <c r="H78" i="3" a="1"/>
  <c r="A103" i="3" a="1"/>
  <c r="B210" i="3" a="1"/>
  <c r="V103" i="3" a="1"/>
  <c r="Z7" i="3" a="1"/>
  <c r="C112" i="3" a="1"/>
  <c r="B46" i="3" a="1"/>
  <c r="Q15" i="3" a="1"/>
  <c r="K69" i="3" a="1"/>
  <c r="X90" i="3" a="1"/>
  <c r="T118" i="3" a="1"/>
  <c r="I63" i="3" a="1"/>
  <c r="AD25" i="3" a="1"/>
  <c r="R45" i="3" a="1"/>
  <c r="C123" i="3" a="1"/>
  <c r="I138" i="3" a="1"/>
  <c r="R24" i="3" a="1"/>
  <c r="I246" i="3" a="1"/>
  <c r="V201" i="3" a="1"/>
  <c r="L223" i="3" a="1"/>
  <c r="N56" i="3" a="1"/>
  <c r="M85" i="3" a="1"/>
  <c r="W44" i="3" a="1"/>
  <c r="L27" i="3" a="1"/>
  <c r="A241" i="3" a="1"/>
  <c r="D239" i="3" a="1"/>
  <c r="K9" i="3" a="1"/>
  <c r="AB3" i="3" a="1"/>
  <c r="M126" i="3" a="1"/>
  <c r="D110" i="3" a="1"/>
  <c r="A136" i="3" a="1"/>
  <c r="E144" i="3" a="1"/>
  <c r="R50" i="3" a="1"/>
  <c r="I23" i="3" a="1"/>
  <c r="N71" i="3" a="1"/>
  <c r="K78" i="3" a="1"/>
  <c r="L119" i="3" a="1"/>
  <c r="M195" i="3" a="1"/>
  <c r="F174" i="3" a="1"/>
  <c r="W153" i="3" a="1"/>
  <c r="J222" i="3" a="1"/>
  <c r="X165" i="3" a="1"/>
  <c r="R232" i="3" a="1"/>
  <c r="D186" i="3" a="1"/>
  <c r="N249" i="3" a="1"/>
  <c r="AC118" i="3" a="1"/>
  <c r="F110" i="3" a="1"/>
  <c r="E175" i="3" a="1"/>
  <c r="L160" i="3" a="1"/>
  <c r="D48" i="3" a="1"/>
  <c r="U76" i="3" a="1"/>
  <c r="X141" i="3" a="1"/>
  <c r="W28" i="3" a="1"/>
  <c r="C213" i="3" a="1"/>
  <c r="AA198" i="3" a="1"/>
  <c r="X132" i="3" a="1"/>
  <c r="L228" i="3" a="1"/>
  <c r="AD39" i="3" a="1"/>
  <c r="T130" i="3" a="1"/>
  <c r="E27" i="3" a="1"/>
  <c r="K216" i="3" a="1"/>
  <c r="Z236" i="3" a="1"/>
  <c r="G91" i="3" a="1"/>
  <c r="Q156" i="3" a="1"/>
  <c r="A193" i="3" a="1"/>
  <c r="F197" i="3" a="1"/>
  <c r="P231" i="3" a="1"/>
  <c r="Z245" i="3" a="1"/>
  <c r="O39" i="3" a="1"/>
  <c r="C17" i="3" a="1"/>
  <c r="O172" i="3" a="1"/>
  <c r="AD99" i="3" a="1"/>
  <c r="X202" i="3" a="1"/>
  <c r="S194" i="3" a="1"/>
  <c r="H169" i="3" a="1"/>
  <c r="AB134" i="3" a="1"/>
  <c r="N92" i="3" a="1"/>
  <c r="Z139" i="3" a="1"/>
  <c r="D75" i="3" a="1"/>
  <c r="B237" i="3" a="1"/>
  <c r="AD213" i="3" a="1"/>
  <c r="A232" i="3" a="1"/>
  <c r="O212" i="3" a="1"/>
  <c r="Q9" i="3" a="1"/>
  <c r="Q191" i="3" a="1"/>
  <c r="F211" i="3" a="1"/>
  <c r="C203" i="3" a="1"/>
  <c r="H37" i="3" a="1"/>
  <c r="G189" i="3" a="1"/>
  <c r="AD183" i="3" a="1"/>
  <c r="S251" i="3" a="1"/>
  <c r="D79" i="3" a="1"/>
  <c r="J210" i="3" a="1"/>
  <c r="Y201" i="3" a="1"/>
  <c r="L24" i="3" a="1"/>
  <c r="F72" i="3" a="1"/>
  <c r="Q117" i="3" a="1"/>
  <c r="H247" i="3" a="1"/>
  <c r="Q57" i="3" a="1"/>
  <c r="G171" i="3" a="1"/>
  <c r="T103" i="3" a="1"/>
  <c r="W19" i="3" a="1"/>
  <c r="T214" i="3" a="1"/>
  <c r="N5" i="3" a="1"/>
  <c r="G153" i="3" a="1"/>
  <c r="V121" i="3" a="1"/>
  <c r="O98" i="3" a="1"/>
  <c r="K66" i="3" a="1"/>
  <c r="N38" i="3" a="1"/>
  <c r="Q149" i="3" a="1"/>
  <c r="C162" i="3" a="1"/>
  <c r="Q204" i="3" a="1"/>
  <c r="I94" i="3" a="1"/>
  <c r="I144" i="3" a="1"/>
  <c r="T113" i="3" a="1"/>
  <c r="K175" i="3" a="1"/>
  <c r="K171" i="3" a="1"/>
  <c r="E160" i="3" a="1"/>
  <c r="V247" i="3" a="1"/>
  <c r="H8" i="3" a="1"/>
  <c r="S58" i="3" a="1"/>
  <c r="A111" i="3" a="1"/>
  <c r="S75" i="3" a="1"/>
  <c r="G200" i="3" a="1"/>
  <c r="W144" i="3" a="1"/>
  <c r="V155" i="3" a="1"/>
  <c r="J15" i="3" a="1"/>
  <c r="AC16" i="3" a="1"/>
  <c r="G92" i="3" a="1"/>
  <c r="U14" i="3" a="1"/>
  <c r="P66" i="3" a="1"/>
  <c r="H182" i="3" a="1"/>
  <c r="E242" i="3" a="1"/>
  <c r="L249" i="3" a="1"/>
  <c r="X59" i="3" a="1"/>
  <c r="I125" i="3" a="1"/>
  <c r="AC167" i="3" a="1"/>
  <c r="AD156" i="3" a="1"/>
  <c r="W41" i="3" a="1"/>
  <c r="AA95" i="3" a="1"/>
  <c r="Z254" i="3" a="1"/>
  <c r="V182" i="3" a="1"/>
  <c r="AA230" i="3" a="1"/>
  <c r="A149" i="3" a="1"/>
  <c r="L133" i="3" a="1"/>
  <c r="U3" i="3" a="1"/>
  <c r="G174" i="3" a="1"/>
  <c r="U211" i="3" a="1"/>
  <c r="L66" i="3" a="1"/>
  <c r="AC192" i="3" a="1"/>
  <c r="S192" i="3" a="1"/>
  <c r="G148" i="3" a="1"/>
  <c r="E104" i="3" a="1"/>
  <c r="V218" i="3" a="1"/>
  <c r="AC8" i="3" a="1"/>
  <c r="S252" i="3" a="1"/>
  <c r="M83" i="3" a="1"/>
  <c r="F140" i="3" a="1"/>
  <c r="S181" i="3" a="1"/>
  <c r="D205" i="3" a="1"/>
  <c r="AC222" i="3" a="1"/>
  <c r="W81" i="3" a="1"/>
  <c r="O97" i="3" a="1"/>
  <c r="S191" i="3" a="1"/>
  <c r="Q23" i="3" a="1"/>
  <c r="AD232" i="3" a="1"/>
  <c r="AB210" i="3" a="1"/>
  <c r="AB46" i="3" a="1"/>
  <c r="AB111" i="3" a="1"/>
  <c r="C193" i="3" a="1"/>
  <c r="J165" i="3" a="1"/>
  <c r="S8" i="3" a="1"/>
  <c r="R252" i="3" a="1"/>
  <c r="M71" i="3" a="1"/>
  <c r="AA219" i="3" a="1"/>
  <c r="T50" i="3" a="1"/>
  <c r="W76" i="3" a="1"/>
  <c r="S65" i="3" a="1"/>
  <c r="U8" i="3" a="1"/>
  <c r="L99" i="3" a="1"/>
  <c r="AD101" i="3" a="1"/>
  <c r="I194" i="3" a="1"/>
  <c r="X19" i="3" a="1"/>
  <c r="AD111" i="3" a="1"/>
  <c r="L112" i="3" a="1"/>
  <c r="J244" i="3" a="1"/>
  <c r="F207" i="3" a="1"/>
  <c r="G253" i="3" a="1"/>
  <c r="AA209" i="3" a="1"/>
  <c r="Y52" i="3" a="1"/>
  <c r="G83" i="3" a="1"/>
  <c r="R46" i="3" a="1"/>
  <c r="T238" i="3" a="1"/>
  <c r="Z159" i="3" a="1"/>
  <c r="G43" i="3" a="1"/>
  <c r="Z154" i="3" a="1"/>
  <c r="AA53" i="3" a="1"/>
  <c r="V143" i="3" a="1"/>
  <c r="S96" i="3" a="1"/>
  <c r="H148" i="3" a="1"/>
  <c r="O170" i="3" a="1"/>
  <c r="W184" i="3" a="1"/>
  <c r="L57" i="3" a="1"/>
  <c r="K190" i="3" a="1"/>
  <c r="AA91" i="3" a="1"/>
  <c r="AA14" i="3" a="1"/>
  <c r="W128" i="3" a="1"/>
  <c r="J40" i="3" a="1"/>
  <c r="V46" i="3" a="1"/>
  <c r="U78" i="3" a="1"/>
  <c r="E172" i="3" a="1"/>
  <c r="U179" i="3" a="1"/>
  <c r="I147" i="3" a="1"/>
  <c r="R37" i="3" a="1"/>
  <c r="U121" i="3" a="1"/>
  <c r="T248" i="3" a="1"/>
  <c r="B94" i="3" a="1"/>
  <c r="H13" i="3" a="1"/>
  <c r="L155" i="3" a="1"/>
  <c r="X109" i="3" a="1"/>
  <c r="T175" i="3" a="1"/>
  <c r="AC40" i="3" a="1"/>
  <c r="J127" i="3" a="1"/>
  <c r="AB174" i="3" a="1"/>
  <c r="G133" i="3" a="1"/>
  <c r="R114" i="3" a="1"/>
  <c r="W87" i="3" a="1"/>
  <c r="Y72" i="3" a="1"/>
  <c r="Y102" i="3" a="1"/>
  <c r="P44" i="3" a="1"/>
  <c r="X139" i="3" a="1"/>
  <c r="N110" i="3" a="1"/>
  <c r="M38" i="3" a="1"/>
  <c r="S209" i="3" a="1"/>
  <c r="D131" i="3" a="1"/>
  <c r="A54" i="3" a="1"/>
  <c r="Z3" i="3" a="1"/>
  <c r="AD30" i="3" a="1"/>
  <c r="L131" i="3" a="1"/>
  <c r="AB133" i="3" a="1"/>
  <c r="V101" i="3" a="1"/>
  <c r="K187" i="3" a="1"/>
  <c r="E149" i="3" a="1"/>
  <c r="N2" i="3" a="1"/>
  <c r="I75" i="3" a="1"/>
  <c r="J218" i="3" a="1"/>
  <c r="X32" i="3" a="1"/>
  <c r="U237" i="3" a="1"/>
  <c r="H193" i="3" a="1"/>
  <c r="O214" i="3" a="1"/>
  <c r="L40" i="3" a="1"/>
  <c r="T232" i="3" a="1"/>
  <c r="X55" i="3" a="1"/>
  <c r="U85" i="3" a="1"/>
  <c r="G22" i="3" a="1"/>
  <c r="H108" i="3" a="1"/>
  <c r="AA227" i="3" a="1"/>
  <c r="C188" i="3" a="1"/>
  <c r="D63" i="3" a="1"/>
  <c r="T206" i="3" a="1"/>
  <c r="R41" i="3" a="1"/>
  <c r="A97" i="3" a="1"/>
  <c r="AB39" i="3" a="1"/>
  <c r="P166" i="3" a="1"/>
  <c r="Z44" i="3" a="1"/>
  <c r="R87" i="3" a="1"/>
  <c r="A254" i="3" a="1"/>
  <c r="I150" i="3" a="1"/>
  <c r="F60" i="3" a="1"/>
  <c r="I84" i="3" a="1"/>
  <c r="E131" i="3" a="1"/>
  <c r="P105" i="3" a="1"/>
  <c r="M184" i="3" a="1"/>
  <c r="R177" i="3" a="1"/>
  <c r="AD187" i="3" a="1"/>
  <c r="N119" i="3" a="1"/>
  <c r="Q151" i="3" a="1"/>
  <c r="AA11" i="3" a="1"/>
  <c r="K61" i="3" a="1"/>
  <c r="AC189" i="3" a="1"/>
  <c r="L210" i="3" a="1"/>
  <c r="J158" i="3" a="1"/>
  <c r="AA75" i="3" a="1"/>
  <c r="Z198" i="3" a="1"/>
  <c r="D159" i="3" a="1"/>
  <c r="U202" i="3" a="1"/>
  <c r="A155" i="3" a="1"/>
  <c r="V170" i="3" a="1"/>
  <c r="O166" i="3" a="1"/>
  <c r="M187" i="3" a="1"/>
  <c r="V207" i="3" a="1"/>
  <c r="G39" i="3" a="1"/>
  <c r="AD140" i="3" a="1"/>
  <c r="A255" i="3" a="1"/>
  <c r="Z130" i="3" a="1"/>
  <c r="T192" i="3" a="1"/>
  <c r="S47" i="3" a="1"/>
  <c r="K237" i="3" a="1"/>
  <c r="AC169" i="3" a="1"/>
  <c r="L125" i="3" a="1"/>
  <c r="O34" i="3" a="1"/>
  <c r="G65" i="3" a="1"/>
  <c r="S146" i="3" a="1"/>
  <c r="B169" i="3" a="1"/>
  <c r="D236" i="3" a="1"/>
  <c r="N111" i="3" a="1"/>
  <c r="AD115" i="3" a="1"/>
  <c r="AC171" i="3" a="1"/>
  <c r="F62" i="3" a="1"/>
  <c r="E255" i="3" a="1"/>
  <c r="S183" i="3" a="1"/>
  <c r="P144" i="3" a="1"/>
  <c r="U240" i="3" a="1"/>
  <c r="J255" i="3" a="1"/>
  <c r="AB104" i="3" a="1"/>
  <c r="G89" i="3" a="1"/>
  <c r="K55" i="3" a="1"/>
  <c r="N28" i="3" a="1"/>
  <c r="Q164" i="3" a="1"/>
  <c r="I57" i="3" a="1"/>
  <c r="C138" i="3" a="1"/>
  <c r="O183" i="3" a="1"/>
  <c r="K254" i="3" a="1"/>
  <c r="AB158" i="3" a="1"/>
  <c r="X44" i="3" a="1"/>
  <c r="U208" i="3" a="1"/>
  <c r="B231" i="3" a="1"/>
  <c r="N220" i="3" a="1"/>
  <c r="J113" i="3" a="1"/>
  <c r="AC83" i="3" a="1"/>
  <c r="AB241" i="3" a="1"/>
  <c r="D105" i="3" a="1"/>
  <c r="E156" i="3" a="1"/>
  <c r="W219" i="3" a="1"/>
  <c r="AA220" i="3" a="1"/>
  <c r="AC236" i="3" a="1"/>
  <c r="K41" i="3" a="1"/>
  <c r="C189" i="3" a="1"/>
  <c r="W123" i="3" a="1"/>
  <c r="Y164" i="3" a="1"/>
  <c r="D168" i="3" a="1"/>
  <c r="Y197" i="3" a="1"/>
  <c r="Q212" i="3" a="1"/>
  <c r="A40" i="3" a="1"/>
  <c r="T212" i="3" a="1"/>
  <c r="B123" i="3" a="1"/>
  <c r="H35" i="3" a="1"/>
  <c r="K20" i="3" a="1"/>
  <c r="Q128" i="3" a="1"/>
  <c r="P164" i="3" a="1"/>
  <c r="T208" i="3" a="1"/>
  <c r="L85" i="3" a="1"/>
  <c r="AC111" i="3" a="1"/>
  <c r="H59" i="3" a="1"/>
  <c r="Y224" i="3" a="1"/>
  <c r="D108" i="3" a="1"/>
  <c r="S137" i="3" a="1"/>
  <c r="O159" i="3" a="1"/>
  <c r="P40" i="3" a="1"/>
  <c r="X5" i="3" a="1"/>
  <c r="Y232" i="3" a="1"/>
  <c r="N188" i="3" a="1"/>
  <c r="G125" i="3" a="1"/>
  <c r="R254" i="3" a="1"/>
  <c r="L234" i="3" a="1"/>
  <c r="Y67" i="3" a="1"/>
  <c r="V16" i="3" a="1"/>
  <c r="A68" i="3" a="1"/>
  <c r="F167" i="3" a="1"/>
  <c r="Q72" i="3" a="1"/>
  <c r="R59" i="3" a="1"/>
  <c r="S106" i="3" a="1"/>
  <c r="V145" i="3" a="1"/>
  <c r="B251" i="3" a="1"/>
  <c r="T157" i="3" a="1"/>
  <c r="M56" i="3" a="1"/>
  <c r="AC90" i="3" a="1"/>
  <c r="X92" i="3" a="1"/>
  <c r="V239" i="3" a="1"/>
  <c r="I126" i="3" a="1"/>
  <c r="P244" i="3" a="1"/>
  <c r="U184" i="3" a="1"/>
  <c r="Z185" i="3" a="1"/>
  <c r="AA72" i="3" a="1"/>
  <c r="N231" i="3" a="1"/>
  <c r="AB32" i="3" a="1"/>
  <c r="K214" i="3" a="1"/>
  <c r="S145" i="3" a="1"/>
  <c r="L146" i="3" a="1"/>
  <c r="U164" i="3" a="1"/>
  <c r="B87" i="3" a="1"/>
  <c r="AC100" i="3" a="1"/>
  <c r="L151" i="3" a="1"/>
  <c r="I90" i="3" a="1"/>
  <c r="W168" i="3" a="1"/>
  <c r="W139" i="3" a="1"/>
  <c r="F227" i="3" a="1"/>
  <c r="F181" i="3" a="1"/>
  <c r="E73" i="3" a="1"/>
  <c r="L120" i="3" a="1"/>
  <c r="D86" i="3" a="1"/>
  <c r="AC144" i="3" a="1"/>
  <c r="K136" i="3" a="1"/>
  <c r="W113" i="3" a="1"/>
  <c r="S198" i="3" a="1"/>
  <c r="I64" i="3" a="1"/>
  <c r="AD77" i="3" a="1"/>
  <c r="A116" i="3" a="1"/>
  <c r="C196" i="3" a="1"/>
  <c r="Y56" i="3" a="1"/>
  <c r="S20" i="3" a="1"/>
  <c r="N115" i="3" a="1"/>
  <c r="Q185" i="3" a="1"/>
  <c r="D165" i="3" a="1"/>
  <c r="A102" i="3" a="1"/>
  <c r="Z240" i="3" a="1"/>
  <c r="L21" i="3" a="1"/>
  <c r="A135" i="3" a="1"/>
  <c r="W240" i="3" a="1"/>
  <c r="A47" i="3" a="1"/>
  <c r="V48" i="3" a="1"/>
  <c r="Q194" i="3" a="1"/>
  <c r="T136" i="3" a="1"/>
  <c r="Y218" i="3" a="1"/>
  <c r="AC105" i="3" a="1"/>
  <c r="A148" i="3" a="1"/>
  <c r="W201" i="3" a="1"/>
  <c r="E205" i="3" a="1"/>
  <c r="C183" i="3" a="1"/>
  <c r="C57" i="3" a="1"/>
  <c r="P173" i="3" a="1"/>
  <c r="G132" i="3" a="1"/>
  <c r="F170" i="3" a="1"/>
  <c r="N78" i="3" a="1"/>
  <c r="J42" i="3" a="1"/>
  <c r="AA237" i="3" a="1"/>
  <c r="I245" i="3" a="1"/>
  <c r="V34" i="3" a="1"/>
  <c r="J112" i="3" a="1"/>
  <c r="W213" i="3" a="1"/>
  <c r="AA55" i="3" a="1"/>
  <c r="W196" i="3" a="1"/>
  <c r="T4" i="3" a="1"/>
  <c r="AC60" i="3" a="1"/>
  <c r="V9" i="3" a="1"/>
  <c r="F88" i="3" a="1"/>
  <c r="D97" i="3" a="1"/>
  <c r="AA101" i="3" a="1"/>
  <c r="D255" i="3" a="1"/>
  <c r="E109" i="3" a="1"/>
  <c r="R142" i="3" a="1"/>
  <c r="D179" i="3" a="1"/>
  <c r="X29" i="3" a="1"/>
  <c r="Q113" i="3" a="1"/>
  <c r="L183" i="3" a="1"/>
  <c r="Z50" i="3" a="1"/>
  <c r="Y4" i="3" a="1"/>
  <c r="G20" i="3" a="1"/>
  <c r="AD235" i="3" a="1"/>
  <c r="E180" i="3" a="1"/>
  <c r="Y140" i="3" a="1"/>
  <c r="K124" i="3" a="1"/>
  <c r="R69" i="3" a="1"/>
  <c r="M8" i="3" a="1"/>
  <c r="T172" i="3" a="1"/>
  <c r="V106" i="3" a="1"/>
  <c r="Y101" i="3" a="1"/>
  <c r="K6" i="3" a="1"/>
  <c r="AC131" i="3" a="1"/>
  <c r="N191" i="3" a="1"/>
  <c r="Y89" i="3" a="1"/>
  <c r="R25" i="3" a="1"/>
  <c r="I247" i="3" a="1"/>
  <c r="V92" i="3" a="1"/>
  <c r="Q198" i="3" a="1"/>
  <c r="M200" i="3" a="1"/>
  <c r="X99" i="3" a="1"/>
  <c r="I100" i="3" a="1"/>
  <c r="O245" i="3" a="1"/>
  <c r="N139" i="3" a="1"/>
  <c r="O202" i="3" a="1"/>
  <c r="D220" i="3" a="1"/>
  <c r="AC101" i="3" a="1"/>
  <c r="V206" i="3" a="1"/>
  <c r="Y146" i="3" a="1"/>
  <c r="AD83" i="3" a="1"/>
  <c r="Y132" i="3" a="1"/>
  <c r="S30" i="3" a="1"/>
  <c r="AC214" i="3" a="1"/>
  <c r="U221" i="3" a="1"/>
  <c r="AD237" i="3" a="1"/>
  <c r="AB160" i="3" a="1"/>
  <c r="O167" i="3" a="1"/>
  <c r="H22" i="3" a="1"/>
  <c r="AB199" i="3" a="1"/>
  <c r="N177" i="3" a="1"/>
  <c r="J155" i="3" a="1"/>
  <c r="I248" i="3" a="1"/>
  <c r="S7" i="3" a="1"/>
  <c r="B197" i="3" a="1"/>
  <c r="T5" i="3" a="1"/>
  <c r="Z49" i="3" a="1"/>
  <c r="Z147" i="3" a="1"/>
  <c r="M59" i="3" a="1"/>
  <c r="F188" i="3" a="1"/>
  <c r="L80" i="3" a="1"/>
  <c r="L126" i="3" a="1"/>
  <c r="P39" i="3" a="1"/>
  <c r="T210" i="3" a="1"/>
  <c r="Q61" i="3" a="1"/>
  <c r="Y248" i="3" a="1"/>
  <c r="Y186" i="3" a="1"/>
  <c r="V82" i="3" a="1"/>
  <c r="P17" i="3" a="1"/>
  <c r="N45" i="3" a="1"/>
  <c r="H214" i="3" a="1"/>
  <c r="U157" i="3" a="1"/>
  <c r="C240" i="3" a="1"/>
  <c r="F64" i="3" a="1"/>
  <c r="D35" i="3" a="1"/>
  <c r="O156" i="3" a="1"/>
  <c r="B66" i="3" a="1"/>
  <c r="R39" i="3" a="1"/>
  <c r="W129" i="3" a="1"/>
  <c r="R131" i="3" a="1"/>
  <c r="O85" i="3" a="1"/>
  <c r="P176" i="3" a="1"/>
  <c r="AB192" i="3" a="1"/>
  <c r="Q200" i="3" a="1"/>
  <c r="V220" i="3" a="1"/>
  <c r="G94" i="3" a="1"/>
  <c r="L94" i="3" a="1"/>
  <c r="X62" i="3" a="1"/>
  <c r="O25" i="3" a="1"/>
  <c r="U216" i="3" a="1"/>
  <c r="O53" i="3" a="1"/>
  <c r="P34" i="3" a="1"/>
  <c r="F250" i="3" a="1"/>
  <c r="D27" i="3" a="1"/>
  <c r="Z120" i="3" a="1"/>
  <c r="U217" i="3" a="1"/>
  <c r="J25" i="3" a="1"/>
  <c r="I16" i="3" a="1"/>
  <c r="D117" i="3" a="1"/>
  <c r="B9" i="3" a="1"/>
  <c r="Y13" i="3" a="1"/>
  <c r="P5" i="3" a="1"/>
  <c r="C111" i="3" a="1"/>
  <c r="K137" i="3" a="1"/>
  <c r="M174" i="3" a="1"/>
  <c r="W221" i="3" a="1"/>
  <c r="E116" i="3" a="1"/>
  <c r="P150" i="3" a="1"/>
  <c r="AC94" i="3" a="1"/>
  <c r="W62" i="3" a="1"/>
  <c r="T137" i="3" a="1"/>
  <c r="E224" i="3" a="1"/>
  <c r="G130" i="3" a="1"/>
  <c r="M41" i="3" a="1"/>
  <c r="J20" i="3" a="1"/>
  <c r="A96" i="3" a="1"/>
  <c r="D212" i="3" a="1"/>
  <c r="AA133" i="3" a="1"/>
  <c r="M2" i="3" a="1"/>
  <c r="AA181" i="3" a="1"/>
  <c r="U53" i="3" a="1"/>
  <c r="U241" i="3" a="1"/>
  <c r="N225" i="3" a="1"/>
  <c r="G255" i="3" a="1"/>
  <c r="U141" i="3" a="1"/>
  <c r="H136" i="3" a="1"/>
  <c r="G239" i="3" a="1"/>
  <c r="I91" i="3" a="1"/>
  <c r="AC42" i="3" a="1"/>
  <c r="V24" i="3" a="1"/>
  <c r="K108" i="3" a="1"/>
  <c r="X190" i="3" a="1"/>
  <c r="H179" i="3" a="1"/>
  <c r="I224" i="3" a="1"/>
  <c r="N156" i="3" a="1"/>
  <c r="G227" i="3" a="1"/>
  <c r="Y59" i="3" a="1"/>
  <c r="F157" i="3" a="1"/>
  <c r="K252" i="3" a="1"/>
  <c r="C70" i="3" a="1"/>
  <c r="V208" i="3" a="1"/>
  <c r="K157" i="3" a="1"/>
  <c r="M103" i="3" a="1"/>
  <c r="Z66" i="3" a="1"/>
  <c r="S119" i="3" a="1"/>
  <c r="M237" i="3" a="1"/>
  <c r="AA243" i="3" a="1"/>
  <c r="W103" i="3" a="1"/>
  <c r="X171" i="3" a="1"/>
  <c r="H243" i="3" a="1"/>
  <c r="Z232" i="3" a="1"/>
  <c r="S151" i="3" a="1"/>
  <c r="B58" i="3" a="1"/>
  <c r="O146" i="3" a="1"/>
  <c r="G190" i="3" a="1"/>
  <c r="J202" i="3" a="1"/>
  <c r="Z244" i="3" a="1"/>
  <c r="AD169" i="3" a="1"/>
  <c r="G224" i="3" a="1"/>
  <c r="H216" i="3" a="1"/>
  <c r="X207" i="3" a="1"/>
  <c r="P36" i="3" a="1"/>
  <c r="A234" i="3" a="1"/>
  <c r="I193" i="3" a="1"/>
  <c r="Y152" i="3" a="1"/>
  <c r="M94" i="3" a="1"/>
  <c r="P239" i="3" a="1"/>
  <c r="J53" i="3" a="1"/>
  <c r="H153" i="3" a="1"/>
  <c r="AC199" i="3" a="1"/>
  <c r="W150" i="3" a="1"/>
  <c r="A114" i="3" a="1"/>
  <c r="Y216" i="3" a="1"/>
  <c r="X47" i="3" a="1"/>
  <c r="AD69" i="3" a="1"/>
  <c r="N187" i="3" a="1"/>
  <c r="L189" i="3" a="1"/>
  <c r="K127" i="3" a="1"/>
  <c r="N108" i="3" a="1"/>
  <c r="N84" i="3" a="1"/>
  <c r="Q95" i="3" a="1"/>
  <c r="AD108" i="3" a="1"/>
  <c r="J131" i="3" a="1"/>
  <c r="P130" i="3" a="1"/>
  <c r="F68" i="3" a="1"/>
  <c r="E86" i="3" a="1"/>
  <c r="D80" i="3" a="1"/>
  <c r="I190" i="3" a="1"/>
  <c r="Z83" i="3" a="1"/>
  <c r="V127" i="3" a="1"/>
  <c r="H140" i="3" a="1"/>
  <c r="AD234" i="3" a="1"/>
  <c r="W74" i="3" a="1"/>
  <c r="D88" i="3" a="1"/>
  <c r="Y105" i="3" a="1"/>
  <c r="AC124" i="3" a="1"/>
  <c r="A11" i="3" a="1"/>
  <c r="U15" i="3" a="1"/>
  <c r="F50" i="3" a="1"/>
  <c r="E137" i="3" a="1"/>
  <c r="G31" i="3" a="1"/>
  <c r="H239" i="3" a="1"/>
  <c r="A27" i="3" a="1"/>
  <c r="AA132" i="3" a="1"/>
  <c r="AA246" i="3" a="1"/>
  <c r="G152" i="3" a="1"/>
  <c r="V55" i="3" a="1"/>
  <c r="L230" i="3" a="1"/>
  <c r="Y66" i="3" a="1"/>
  <c r="V73" i="3" a="1"/>
  <c r="A28" i="3" a="1"/>
  <c r="AC61" i="3" a="1"/>
  <c r="AA154" i="3" a="1"/>
  <c r="G102" i="3" a="1"/>
  <c r="Q18" i="3" a="1"/>
  <c r="AD206" i="3" a="1"/>
  <c r="G124" i="3" a="1"/>
  <c r="A86" i="3" a="1"/>
  <c r="AA250" i="3" a="1"/>
  <c r="L235" i="3" a="1"/>
  <c r="I171" i="3" a="1"/>
  <c r="A17" i="3" a="1"/>
  <c r="X96" i="3" a="1"/>
  <c r="J107" i="3" a="1"/>
  <c r="R119" i="3" a="1"/>
  <c r="AA28" i="3" a="1"/>
  <c r="AA103" i="3" a="1"/>
  <c r="I239" i="3" a="1"/>
  <c r="K255" i="3" a="1"/>
  <c r="A90" i="3" a="1"/>
  <c r="P240" i="3" a="1"/>
  <c r="AC213" i="3" a="1"/>
  <c r="P112" i="3" a="1"/>
  <c r="G141" i="3" a="1"/>
  <c r="G123" i="3" a="1"/>
  <c r="A214" i="3" a="1"/>
  <c r="I55" i="3" a="1"/>
  <c r="K18" i="3" a="1"/>
  <c r="O29" i="3" a="1"/>
  <c r="H115" i="3" a="1"/>
  <c r="I151" i="3" a="1"/>
  <c r="T200" i="3" a="1"/>
  <c r="V57" i="3" a="1"/>
  <c r="T116" i="3" a="1"/>
  <c r="I25" i="3" a="1"/>
  <c r="Q131" i="3" a="1"/>
  <c r="W228" i="3" a="1"/>
  <c r="A162" i="3" a="1"/>
  <c r="Z41" i="3" a="1"/>
  <c r="K215" i="3" a="1"/>
  <c r="K241" i="3" a="1"/>
  <c r="U84" i="3" a="1"/>
  <c r="AC148" i="3" a="1"/>
  <c r="L60" i="3" a="1"/>
  <c r="Q43" i="3" a="1"/>
  <c r="AD63" i="3" a="1"/>
  <c r="N151" i="3" a="1"/>
  <c r="H176" i="3" a="1"/>
  <c r="C236" i="3" a="1"/>
  <c r="E168" i="3" a="1"/>
  <c r="S176" i="3" a="1"/>
  <c r="V2" i="3" a="1"/>
  <c r="M93" i="3" a="1"/>
  <c r="M177" i="3" a="1"/>
  <c r="C24" i="3" a="1"/>
  <c r="G243" i="3" a="1"/>
  <c r="B160" i="3" a="1"/>
  <c r="A197" i="3" a="1"/>
  <c r="Y136" i="3" a="1"/>
  <c r="N50" i="3" a="1"/>
  <c r="AA80" i="3" a="1"/>
  <c r="H165" i="3" a="1"/>
  <c r="E184" i="3" a="1"/>
  <c r="Y135" i="3" a="1"/>
  <c r="T254" i="3" a="1"/>
  <c r="S52" i="3" a="1"/>
  <c r="E202" i="3" a="1"/>
  <c r="J191" i="3" a="1"/>
  <c r="T239" i="3" a="1"/>
  <c r="U22" i="3" a="1"/>
  <c r="Q81" i="3" a="1"/>
  <c r="R53" i="3" a="1"/>
  <c r="L144" i="3" a="1"/>
  <c r="Y244" i="3" a="1"/>
  <c r="M36" i="3" a="1"/>
  <c r="C64" i="3" a="1"/>
  <c r="X23" i="3" a="1"/>
  <c r="V85" i="3" a="1"/>
  <c r="J242" i="3" a="1"/>
  <c r="L17" i="3" a="1"/>
  <c r="AD184" i="3" a="1"/>
  <c r="V150" i="3" a="1"/>
  <c r="K72" i="3" a="1"/>
  <c r="R253" i="3" a="1"/>
  <c r="N44" i="3" a="1"/>
  <c r="O51" i="3" a="1"/>
  <c r="AC64" i="3" a="1"/>
  <c r="B203" i="3" a="1"/>
  <c r="S255" i="3" a="1"/>
  <c r="Y97" i="3" a="1"/>
  <c r="G210" i="3" a="1"/>
  <c r="T244" i="3" a="1"/>
  <c r="F119" i="3" a="1"/>
  <c r="K168" i="3" a="1"/>
  <c r="L216" i="3" a="1"/>
  <c r="X100" i="3" a="1"/>
  <c r="C2" i="3" a="1"/>
  <c r="K101" i="3" a="1"/>
  <c r="A133" i="3" a="1"/>
  <c r="X242" i="3" a="1"/>
  <c r="X95" i="3" a="1"/>
  <c r="L208" i="3" a="1"/>
  <c r="M145" i="3" a="1"/>
  <c r="S92" i="3" a="1"/>
  <c r="AB18" i="3" a="1"/>
  <c r="W32" i="3" a="1"/>
  <c r="K109" i="3" a="1"/>
  <c r="C219" i="3" a="1"/>
  <c r="N230" i="3" a="1"/>
  <c r="X39" i="3" a="1"/>
  <c r="R67" i="3" a="1"/>
  <c r="AA7" i="3" a="1"/>
  <c r="R241" i="3" a="1"/>
  <c r="D152" i="3" a="1"/>
  <c r="H238" i="3" a="1"/>
  <c r="C175" i="3" a="1"/>
  <c r="B96" i="3" a="1"/>
  <c r="X234" i="3" a="1"/>
  <c r="M14" i="3" a="1"/>
  <c r="G81" i="3" a="1"/>
  <c r="U158" i="3" a="1"/>
  <c r="U198" i="3" a="1"/>
  <c r="U123" i="3" a="1"/>
  <c r="W163" i="3" a="1"/>
  <c r="AB209" i="3" a="1"/>
  <c r="N210" i="3" a="1"/>
  <c r="A246" i="3" a="1"/>
  <c r="R96" i="3" a="1"/>
  <c r="M137" i="3" a="1"/>
  <c r="Y127" i="3" a="1"/>
  <c r="Y108" i="3" a="1"/>
  <c r="E178" i="3" a="1"/>
  <c r="D214" i="3" a="1"/>
  <c r="L192" i="3" a="1"/>
  <c r="E135" i="3" a="1"/>
  <c r="C237" i="3" a="1"/>
  <c r="X124" i="3" a="1"/>
  <c r="U80" i="3" a="1"/>
  <c r="Q50" i="3" a="1"/>
  <c r="S189" i="3" a="1"/>
  <c r="P21" i="3" a="1"/>
  <c r="S129" i="3" a="1"/>
  <c r="G143" i="3" a="1"/>
  <c r="S67" i="3" a="1"/>
  <c r="U251" i="3" a="1"/>
  <c r="D206" i="3" a="1"/>
  <c r="AD153" i="3" a="1"/>
  <c r="L177" i="3" a="1"/>
  <c r="I201" i="3" a="1"/>
  <c r="AC18" i="3" a="1"/>
  <c r="E34" i="3" a="1"/>
  <c r="L124" i="3" a="1"/>
  <c r="L16" i="3" a="1"/>
  <c r="I159" i="3" a="1"/>
  <c r="K195" i="3" a="1"/>
  <c r="C76" i="3" a="1"/>
  <c r="K25" i="3" a="1"/>
  <c r="N15" i="3" a="1"/>
  <c r="M129" i="3" a="1"/>
  <c r="G66" i="3" a="1"/>
  <c r="S175" i="3" a="1"/>
  <c r="T221" i="3" a="1"/>
  <c r="I206" i="3" a="1"/>
  <c r="K54" i="3" a="1"/>
  <c r="L137" i="3" a="1"/>
  <c r="V78" i="3" a="1"/>
  <c r="O47" i="3" a="1"/>
  <c r="P121" i="3" a="1"/>
  <c r="V26" i="3" a="1"/>
  <c r="AD210" i="3" a="1"/>
  <c r="N19" i="3" a="1"/>
  <c r="D114" i="3" a="1"/>
  <c r="Y234" i="3" a="1"/>
  <c r="S212" i="3" a="1"/>
  <c r="G46" i="3" a="1"/>
  <c r="AA166" i="3" a="1"/>
  <c r="S201" i="3" a="1"/>
  <c r="I48" i="3" a="1"/>
  <c r="AD117" i="3" a="1"/>
  <c r="X98" i="3" a="1"/>
  <c r="Q129" i="3" a="1"/>
  <c r="T184" i="3" a="1"/>
  <c r="I89" i="3" a="1"/>
  <c r="B242" i="3" a="1"/>
  <c r="AC250" i="3" a="1"/>
  <c r="V230" i="3" a="1"/>
  <c r="J234" i="3" a="1"/>
  <c r="W254" i="3" a="1"/>
  <c r="AC188" i="3" a="1"/>
  <c r="W36" i="3" a="1"/>
  <c r="N124" i="3" a="1"/>
  <c r="AC87" i="3" a="1"/>
  <c r="R172" i="3" a="1"/>
  <c r="T92" i="3" a="1"/>
  <c r="M32" i="3" a="1"/>
  <c r="I188" i="3" a="1"/>
  <c r="Y31" i="3" a="1"/>
  <c r="AD157" i="3" a="1"/>
  <c r="D151" i="3" a="1"/>
  <c r="F247" i="3" a="1"/>
  <c r="Z235" i="3" a="1"/>
  <c r="F86" i="3" a="1"/>
  <c r="W91" i="3" a="1"/>
  <c r="AD16" i="3" a="1"/>
  <c r="R30" i="3" a="1"/>
  <c r="W49" i="3" a="1"/>
  <c r="G194" i="3" a="1"/>
  <c r="W175" i="3" a="1"/>
  <c r="O109" i="3" a="1"/>
  <c r="X116" i="3" a="1"/>
  <c r="P90" i="3" a="1"/>
  <c r="E71" i="3" a="1"/>
  <c r="AB227" i="3" a="1"/>
  <c r="T255" i="3" a="1"/>
  <c r="C66" i="3" a="1"/>
  <c r="Y233" i="3" a="1"/>
  <c r="D134" i="3" a="1"/>
  <c r="M33" i="3" a="1"/>
  <c r="J154" i="3" a="1"/>
  <c r="M173" i="3" a="1"/>
  <c r="W106" i="3" a="1"/>
  <c r="D180" i="3" a="1"/>
  <c r="S190" i="3" a="1"/>
  <c r="L215" i="3" a="1"/>
  <c r="K253" i="3" a="1"/>
  <c r="Q232" i="3" a="1"/>
  <c r="L95" i="3" a="1"/>
  <c r="AD81" i="3" a="1"/>
  <c r="P113" i="3" a="1"/>
  <c r="F14" i="3" a="1"/>
  <c r="AA135" i="3" a="1"/>
  <c r="F56" i="3" a="1"/>
  <c r="E28" i="3" a="1"/>
  <c r="S180" i="3" a="1"/>
  <c r="T150" i="3" a="1"/>
  <c r="AD201" i="3" a="1"/>
  <c r="X178" i="3" a="1"/>
  <c r="T56" i="3" a="1"/>
  <c r="E45" i="3" a="1"/>
  <c r="T90" i="3" a="1"/>
  <c r="O72" i="3" a="1"/>
  <c r="U114" i="3" a="1"/>
  <c r="AD133" i="3" a="1"/>
  <c r="B171" i="3" a="1"/>
  <c r="AD144" i="3" a="1"/>
  <c r="Q235" i="3" a="1"/>
  <c r="G223" i="3" a="1"/>
  <c r="AA249" i="3" a="1"/>
  <c r="Y109" i="3" a="1"/>
  <c r="X73" i="3" a="1"/>
  <c r="H105" i="3" a="1"/>
  <c r="Q192" i="3" a="1"/>
  <c r="C94" i="3" a="1"/>
  <c r="I17" i="3" a="1"/>
  <c r="K147" i="3" a="1"/>
  <c r="L251" i="3" a="1"/>
  <c r="E152" i="3" a="1"/>
  <c r="B233" i="3" a="1"/>
  <c r="B144" i="3" a="1"/>
  <c r="AC69" i="3" a="1"/>
  <c r="C29" i="3" a="1"/>
  <c r="O184" i="3" a="1"/>
  <c r="T141" i="3" a="1"/>
  <c r="V205" i="3" a="1"/>
  <c r="L53" i="3" a="1"/>
  <c r="W206" i="3" a="1"/>
  <c r="E247" i="3" a="1"/>
  <c r="R168" i="3" a="1"/>
  <c r="E163" i="3" a="1"/>
  <c r="D38" i="3" a="1"/>
  <c r="T31" i="3" a="1"/>
  <c r="C44" i="3" a="1"/>
  <c r="J170" i="3" a="1"/>
  <c r="L218" i="3" a="1"/>
  <c r="W137" i="3" a="1"/>
  <c r="AC190" i="3" a="1"/>
  <c r="T201" i="3" a="1"/>
  <c r="H133" i="3" a="1"/>
  <c r="A142" i="3" a="1"/>
  <c r="AA44" i="3" a="1"/>
  <c r="K85" i="3" a="1"/>
  <c r="X213" i="3" a="1"/>
  <c r="AA203" i="3" a="1"/>
  <c r="I26" i="3" a="1"/>
  <c r="C197" i="3" a="1"/>
  <c r="U51" i="3" a="1"/>
  <c r="O78" i="3" a="1"/>
  <c r="D120" i="3" a="1"/>
  <c r="AA187" i="3" a="1"/>
  <c r="T64" i="3" a="1"/>
  <c r="G211" i="3" a="1"/>
  <c r="J33" i="3" a="1"/>
  <c r="P181" i="3" a="1"/>
  <c r="AA73" i="3" a="1"/>
  <c r="K128" i="3" a="1"/>
  <c r="W253" i="3" a="1"/>
  <c r="P222" i="3" a="1"/>
  <c r="D163" i="3" a="1"/>
  <c r="V202" i="3" a="1"/>
  <c r="S221" i="3" a="1"/>
  <c r="H32" i="3" a="1"/>
  <c r="V189" i="3" a="1"/>
  <c r="F201" i="3" a="1"/>
  <c r="R200" i="3" a="1"/>
  <c r="K250" i="3" a="1"/>
  <c r="Z234" i="3" a="1"/>
  <c r="I148" i="3" a="1"/>
  <c r="U28" i="3" a="1"/>
  <c r="R196" i="3" a="1"/>
  <c r="AD41" i="3" a="1"/>
  <c r="T65" i="3" a="1"/>
  <c r="X187" i="3" a="1"/>
  <c r="AD11" i="3" a="1"/>
  <c r="R27" i="3" a="1"/>
  <c r="U39" i="3" a="1"/>
  <c r="N126" i="3" a="1"/>
  <c r="AC196" i="3" a="1"/>
  <c r="AD197" i="3" a="1"/>
  <c r="Y211" i="3" a="1"/>
  <c r="R64" i="3" a="1"/>
  <c r="I58" i="3" a="1"/>
  <c r="AC102" i="3" a="1"/>
  <c r="E38" i="3" a="1"/>
  <c r="E43" i="3" a="1"/>
  <c r="U86" i="3" a="1"/>
  <c r="S173" i="3" a="1"/>
  <c r="S204" i="3" a="1"/>
  <c r="B236" i="3" a="1"/>
  <c r="L246" i="3" a="1"/>
  <c r="V173" i="3" a="1"/>
  <c r="B13" i="3" a="1"/>
  <c r="AB229" i="3" a="1"/>
  <c r="A18" i="3" a="1"/>
  <c r="N122" i="3" a="1"/>
  <c r="G236" i="3" a="1"/>
  <c r="S79" i="3" a="1"/>
  <c r="O198" i="3" a="1"/>
  <c r="AC68" i="3" a="1"/>
  <c r="I213" i="3" a="1"/>
  <c r="AC128" i="3" a="1"/>
  <c r="R198" i="3" a="1"/>
  <c r="AB123" i="3" a="1"/>
  <c r="Q104" i="3" a="1"/>
  <c r="C18" i="3" a="1"/>
  <c r="S207" i="3" a="1"/>
  <c r="S120" i="3" a="1"/>
  <c r="AB121" i="3" a="1"/>
  <c r="Q180" i="3" a="1"/>
  <c r="F226" i="3" a="1"/>
  <c r="S33" i="3" a="1"/>
  <c r="Q68" i="3" a="1"/>
  <c r="AA125" i="3" a="1"/>
  <c r="V23" i="3" a="1"/>
  <c r="N199" i="3" a="1"/>
  <c r="B83" i="3" a="1"/>
  <c r="D237" i="3" a="1"/>
  <c r="Q101" i="3" a="1"/>
  <c r="D57" i="3" a="1"/>
  <c r="Z242" i="3" a="1"/>
  <c r="AA3" i="3" a="1"/>
  <c r="AB51" i="3" a="1"/>
  <c r="D74" i="3" a="1"/>
  <c r="J153" i="3" a="1"/>
  <c r="AB26" i="3" a="1"/>
  <c r="U159" i="3" a="1"/>
  <c r="T227" i="3" a="1"/>
  <c r="AC175" i="3" a="1"/>
  <c r="F21" i="3" a="1"/>
  <c r="Y128" i="3" a="1"/>
  <c r="Q209" i="3" a="1"/>
  <c r="J236" i="3" a="1"/>
  <c r="I162" i="3" a="1"/>
  <c r="U65" i="3" a="1"/>
  <c r="AB120" i="3" a="1"/>
  <c r="AD10" i="3" a="1"/>
  <c r="S66" i="3" a="1"/>
  <c r="F98" i="3" a="1"/>
  <c r="G151" i="3" a="1"/>
  <c r="W4" i="3" a="1"/>
  <c r="L203" i="3" a="1"/>
  <c r="Y36" i="3" a="1"/>
  <c r="Z217" i="3" a="1"/>
  <c r="A19" i="3" a="1"/>
  <c r="C238" i="3" a="1"/>
  <c r="V161" i="3" a="1"/>
  <c r="U7" i="3" a="1"/>
  <c r="J176" i="3" a="1"/>
  <c r="R135" i="3" a="1"/>
  <c r="O168" i="3" a="1"/>
  <c r="D73" i="3" a="1"/>
  <c r="P197" i="3" a="1"/>
  <c r="Y90" i="3" a="1"/>
  <c r="X75" i="3" a="1"/>
  <c r="B229" i="3" a="1"/>
  <c r="N224" i="3" a="1"/>
  <c r="AB112" i="3" a="1"/>
  <c r="G157" i="3" a="1"/>
  <c r="R32" i="3" a="1"/>
  <c r="C100" i="3" a="1"/>
  <c r="H206" i="3" a="1"/>
  <c r="K57" i="3" a="1"/>
  <c r="AD58" i="3" a="1"/>
  <c r="Y166" i="3" a="1"/>
  <c r="R181" i="3" a="1"/>
  <c r="T72" i="3" a="1"/>
  <c r="Y215" i="3" a="1"/>
  <c r="V95" i="3" a="1"/>
  <c r="H183" i="3" a="1"/>
  <c r="C126" i="3" a="1"/>
  <c r="B215" i="3" a="1"/>
  <c r="AC20" i="3" a="1"/>
  <c r="U55" i="3" a="1"/>
  <c r="D116" i="3" a="1"/>
  <c r="F33" i="3" a="1"/>
  <c r="O190" i="3" a="1"/>
  <c r="T251" i="3" a="1"/>
  <c r="AC48" i="3" a="1"/>
  <c r="L212" i="3" a="1"/>
  <c r="A156" i="3" a="1"/>
  <c r="J208" i="3" a="1"/>
  <c r="O111" i="3" a="1"/>
  <c r="S87" i="3" a="1"/>
  <c r="M141" i="3" a="1"/>
  <c r="AB168" i="3" a="1"/>
  <c r="S141" i="3" a="1"/>
  <c r="X249" i="3" a="1"/>
  <c r="C85" i="3" a="1"/>
  <c r="H123" i="3" a="1"/>
  <c r="AA214" i="3" a="1"/>
  <c r="D240" i="3" a="1"/>
  <c r="N13" i="3" a="1"/>
  <c r="E240" i="3" a="1"/>
  <c r="P188" i="3" a="1"/>
  <c r="V42" i="3" a="1"/>
  <c r="V109" i="3" a="1"/>
  <c r="P247" i="3" a="1"/>
  <c r="E204" i="3" a="1"/>
  <c r="AC108" i="3" a="1"/>
  <c r="R155" i="3" a="1"/>
  <c r="S48" i="3" a="1"/>
  <c r="T14" i="3" a="1"/>
  <c r="Z208" i="3" a="1"/>
  <c r="I20" i="3" a="1"/>
  <c r="G6" i="3" a="1"/>
  <c r="G222" i="3" a="1"/>
  <c r="Q96" i="3" a="1"/>
  <c r="AD233" i="3" a="1"/>
  <c r="AC30" i="3" a="1"/>
  <c r="F92" i="3" a="1"/>
  <c r="Y251" i="3" a="1"/>
  <c r="D196" i="3" a="1"/>
  <c r="A145" i="3" a="1"/>
  <c r="X3" i="3" a="1"/>
  <c r="F172" i="3" a="1"/>
  <c r="H24" i="3" a="1"/>
  <c r="Z193" i="3" a="1"/>
  <c r="U109" i="3" a="1"/>
  <c r="N252" i="3" a="1"/>
  <c r="Y169" i="3" a="1"/>
  <c r="F70" i="3" a="1"/>
  <c r="P207" i="3" a="1"/>
  <c r="M218" i="3" a="1"/>
  <c r="AC255" i="3" a="1"/>
  <c r="N209" i="3" a="1"/>
  <c r="D41" i="3" a="1"/>
  <c r="P96" i="3" a="1"/>
  <c r="Z152" i="3" a="1"/>
  <c r="Z76" i="3" a="1"/>
  <c r="Z40" i="3" a="1"/>
  <c r="L172" i="3" a="1"/>
  <c r="AD19" i="3" a="1"/>
  <c r="N204" i="3" a="1"/>
  <c r="M253" i="3" a="1"/>
  <c r="F233" i="3" a="1"/>
  <c r="AC219" i="3" a="1"/>
  <c r="Q63" i="3" a="1"/>
  <c r="S168" i="3" a="1"/>
  <c r="V81" i="3" a="1"/>
  <c r="B150" i="3" a="1"/>
  <c r="P133" i="3" a="1"/>
  <c r="P45" i="3" a="1"/>
  <c r="AB226" i="3" a="1"/>
  <c r="AC38" i="3" a="1"/>
  <c r="AA252" i="3" a="1"/>
  <c r="I165" i="3" a="1"/>
  <c r="T24" i="3" a="1"/>
  <c r="R121" i="3" a="1"/>
  <c r="C229" i="3" a="1"/>
  <c r="D68" i="3" a="1"/>
  <c r="W60" i="3" a="1"/>
  <c r="M140" i="3" a="1"/>
  <c r="X91" i="3" a="1"/>
  <c r="Z241" i="3" a="1"/>
  <c r="J16" i="3" a="1"/>
  <c r="X162" i="3" a="1"/>
  <c r="O81" i="3" a="1"/>
  <c r="AC89" i="3" a="1"/>
  <c r="U47" i="3" a="1"/>
  <c r="U74" i="3" a="1"/>
  <c r="X230" i="3" a="1"/>
  <c r="AB162" i="3" a="1"/>
  <c r="AD17" i="3" a="1"/>
  <c r="AC234" i="3" a="1"/>
  <c r="A249" i="3" a="1"/>
  <c r="S239" i="3" a="1"/>
  <c r="S93" i="3" a="1"/>
  <c r="Z210" i="3" a="1"/>
  <c r="S109" i="3" a="1"/>
  <c r="M68" i="3" a="1"/>
  <c r="X67" i="3" a="1"/>
  <c r="M29" i="3" a="1"/>
  <c r="AB183" i="3" a="1"/>
  <c r="D176" i="3" a="1"/>
  <c r="AC184" i="3" a="1"/>
  <c r="S105" i="3" a="1"/>
  <c r="Q253" i="3" a="1"/>
  <c r="N22" i="3" a="1"/>
  <c r="R143" i="3" a="1"/>
  <c r="Q45" i="3" a="1"/>
  <c r="O219" i="3" a="1"/>
  <c r="H162" i="3" a="1"/>
  <c r="L26" i="3" a="1"/>
  <c r="AA30" i="3" a="1"/>
  <c r="F206" i="3" a="1"/>
  <c r="P7" i="3" a="1"/>
  <c r="K131" i="3" a="1"/>
  <c r="Z4" i="3" a="1"/>
  <c r="N137" i="3" a="1"/>
  <c r="A153" i="3" a="1"/>
  <c r="AD92" i="3" a="1"/>
  <c r="U197" i="3" a="1"/>
  <c r="N160" i="3" a="1"/>
  <c r="A29" i="3" a="1"/>
  <c r="K76" i="3" a="1"/>
  <c r="Q119" i="3" a="1"/>
  <c r="B85" i="3" a="1"/>
  <c r="Y16" i="3" a="1"/>
  <c r="O84" i="3" a="1"/>
  <c r="N172" i="3" a="1"/>
  <c r="U249" i="3" a="1"/>
  <c r="S36" i="3" a="1"/>
  <c r="K202" i="3" a="1"/>
  <c r="X166" i="3" a="1"/>
  <c r="B181" i="3" a="1"/>
  <c r="I212" i="3" a="1"/>
  <c r="AB6" i="3" a="1"/>
  <c r="U45" i="3" a="1"/>
  <c r="K60" i="3" a="1"/>
  <c r="AA15" i="3" a="1"/>
  <c r="I251" i="3" a="1"/>
  <c r="G17" i="3" a="1"/>
  <c r="B159" i="3" a="1"/>
  <c r="J29" i="3" a="1"/>
  <c r="N113" i="3" a="1"/>
  <c r="X188" i="3" a="1"/>
  <c r="AD20" i="3" a="1"/>
  <c r="T66" i="3" a="1"/>
  <c r="AA29" i="3" a="1"/>
  <c r="D90" i="3" a="1"/>
  <c r="W154" i="3" a="1"/>
  <c r="K49" i="3" a="1"/>
  <c r="Z133" i="3" a="1"/>
  <c r="Q157" i="3" a="1"/>
  <c r="I40" i="3" a="1"/>
  <c r="L227" i="3" a="1"/>
  <c r="J108" i="3" a="1"/>
  <c r="J144" i="3" a="1"/>
  <c r="AB164" i="3" a="1"/>
  <c r="AB180" i="3" a="1"/>
  <c r="J57" i="3" a="1"/>
  <c r="H252" i="3" a="1"/>
  <c r="A64" i="3" a="1"/>
  <c r="R137" i="3" a="1"/>
  <c r="P171" i="3" a="1"/>
  <c r="G10" i="3" a="1"/>
  <c r="AC9" i="3" a="1"/>
  <c r="V70" i="3" a="1"/>
  <c r="AC57" i="3" a="1"/>
  <c r="F184" i="3" a="1"/>
  <c r="Y252" i="3" a="1"/>
  <c r="Q178" i="3" a="1"/>
  <c r="N146" i="3" a="1"/>
  <c r="R72" i="3" a="1"/>
  <c r="AA191" i="3" a="1"/>
  <c r="U246" i="3" a="1"/>
  <c r="E196" i="3" a="1"/>
  <c r="AD246" i="3" a="1"/>
  <c r="O255" i="3" a="1"/>
  <c r="R26" i="3" a="1"/>
  <c r="AD26" i="3" a="1"/>
  <c r="M216" i="3" a="1"/>
  <c r="J121" i="3" a="1"/>
  <c r="P12" i="3" a="1"/>
  <c r="AD208" i="3" a="1"/>
  <c r="Y50" i="3" a="1"/>
  <c r="S149" i="3" a="1"/>
  <c r="P92" i="3" a="1"/>
  <c r="P248" i="3" a="1"/>
  <c r="W124" i="3" a="1"/>
  <c r="J220" i="3" a="1"/>
  <c r="Z205" i="3" a="1"/>
  <c r="B244" i="3" a="1"/>
  <c r="E112" i="3" a="1"/>
  <c r="E96" i="3" a="1"/>
  <c r="AD71" i="3" a="1"/>
  <c r="Y195" i="3" a="1"/>
  <c r="AB230" i="3" a="1"/>
  <c r="B190" i="3" a="1"/>
  <c r="AB223" i="3" a="1"/>
  <c r="AC98" i="3" a="1"/>
  <c r="T152" i="3" a="1"/>
  <c r="H112" i="3" a="1"/>
  <c r="W197" i="3" a="1"/>
  <c r="B47" i="3" a="1"/>
  <c r="R169" i="3" a="1"/>
  <c r="X206" i="3" a="1"/>
  <c r="Z253" i="3" a="1"/>
  <c r="M43" i="3" a="1"/>
  <c r="F128" i="3" a="1"/>
  <c r="Y11" i="3" a="1"/>
  <c r="AD93" i="3" a="1"/>
  <c r="J99" i="3" a="1"/>
  <c r="G240" i="3" a="1"/>
  <c r="O40" i="3" a="1"/>
  <c r="E22" i="3" a="1"/>
  <c r="E40" i="3" a="1"/>
  <c r="J6" i="3" a="1"/>
  <c r="D149" i="3" a="1"/>
  <c r="J105" i="3" a="1"/>
  <c r="AB90" i="3" a="1"/>
  <c r="H246" i="3" a="1"/>
  <c r="T91" i="3" a="1"/>
  <c r="N138" i="3" a="1"/>
  <c r="P195" i="3" a="1"/>
  <c r="X210" i="3" a="1"/>
  <c r="O134" i="3" a="1"/>
  <c r="O204" i="3" a="1"/>
  <c r="A161" i="3" a="1"/>
  <c r="H120" i="3" a="1"/>
  <c r="AC28" i="3" a="1"/>
  <c r="R129" i="3" a="1"/>
  <c r="AA60" i="3" a="1"/>
  <c r="O92" i="3" a="1"/>
  <c r="Y130" i="3" a="1"/>
  <c r="D44" i="3" a="1"/>
  <c r="M196" i="3" a="1"/>
  <c r="AB196" i="3" a="1"/>
  <c r="R128" i="3" a="1"/>
  <c r="M239" i="3" a="1"/>
  <c r="A22" i="3" a="1"/>
  <c r="X122" i="3" a="1"/>
  <c r="G193" i="3" a="1"/>
  <c r="P100" i="3" a="1"/>
  <c r="T111" i="3" a="1"/>
  <c r="Z69" i="3" a="1"/>
  <c r="E113" i="3" a="1"/>
  <c r="M65" i="3" a="1"/>
  <c r="U16" i="3" a="1"/>
  <c r="AB231" i="3" a="1"/>
  <c r="F11" i="3" a="1"/>
  <c r="X53" i="3" a="1"/>
  <c r="O135" i="3" a="1"/>
  <c r="D121" i="3" a="1"/>
  <c r="AB232" i="3" a="1"/>
  <c r="B52" i="3" a="1"/>
  <c r="F81" i="3" a="1"/>
  <c r="P210" i="3" a="1"/>
  <c r="W92" i="3" a="1"/>
  <c r="C156" i="3" a="1"/>
  <c r="B130" i="3" a="1"/>
  <c r="Y117" i="3" a="1"/>
  <c r="I12" i="3" a="1"/>
  <c r="S210" i="3" a="1"/>
  <c r="F189" i="3" a="1"/>
  <c r="W100" i="3" a="1"/>
  <c r="E47" i="3" a="1"/>
  <c r="H28" i="3" a="1"/>
  <c r="F10" i="3" a="1"/>
  <c r="K159" i="3" a="1"/>
  <c r="B68" i="3" a="1"/>
  <c r="AC78" i="3" a="1"/>
  <c r="R104" i="3" a="1"/>
  <c r="H70" i="3" a="1"/>
  <c r="S24" i="3" a="1"/>
  <c r="Q146" i="3" a="1"/>
  <c r="N228" i="3" a="1"/>
  <c r="AB175" i="3" a="1"/>
  <c r="AD159" i="3" a="1"/>
  <c r="Z227" i="3" a="1"/>
  <c r="Z166" i="3" a="1"/>
  <c r="J146" i="3" a="1"/>
  <c r="S114" i="3" a="1"/>
  <c r="I176" i="3" a="1"/>
  <c r="V79" i="3" a="1"/>
  <c r="P71" i="3" a="1"/>
  <c r="AD129" i="3" a="1"/>
  <c r="X21" i="3" a="1"/>
  <c r="Q135" i="3" a="1"/>
  <c r="V18" i="3" a="1"/>
  <c r="Q154" i="3" a="1"/>
  <c r="M143" i="3" a="1"/>
  <c r="I46" i="3" a="1"/>
  <c r="R89" i="3" a="1"/>
  <c r="V77" i="3" a="1"/>
  <c r="Q166" i="3" a="1"/>
  <c r="B148" i="3" a="1"/>
  <c r="C39" i="3" a="1"/>
  <c r="Z53" i="3" a="1"/>
  <c r="C152" i="3" a="1"/>
  <c r="T112" i="3" a="1"/>
  <c r="T89" i="3" a="1"/>
  <c r="K51" i="3" a="1"/>
  <c r="T189" i="3" a="1"/>
  <c r="B224" i="3" a="1"/>
  <c r="S4" i="3" a="1"/>
  <c r="V215" i="3" a="1"/>
  <c r="R145" i="3" a="1"/>
  <c r="AC22" i="3" a="1"/>
  <c r="D56" i="3" a="1"/>
  <c r="P74" i="3" a="1"/>
  <c r="K188" i="3" a="1"/>
  <c r="P119" i="3" a="1"/>
  <c r="B42" i="3" a="1"/>
  <c r="O132" i="3" a="1"/>
  <c r="K220" i="3" a="1"/>
  <c r="V176" i="3" a="1"/>
  <c r="AA152" i="3" a="1"/>
  <c r="AD240" i="3" a="1"/>
  <c r="B207" i="3" a="1"/>
  <c r="O128" i="3" a="1"/>
  <c r="B134" i="3" a="1"/>
  <c r="O217" i="3" a="1"/>
  <c r="J247" i="3" a="1"/>
  <c r="L47" i="3" a="1"/>
  <c r="M165" i="3" a="1"/>
  <c r="M155" i="3" a="1"/>
  <c r="I83" i="3" a="1"/>
  <c r="R220" i="3" a="1"/>
  <c r="C161" i="3" a="1"/>
  <c r="G164" i="3" a="1"/>
  <c r="M190" i="3" a="1"/>
  <c r="F213" i="3" a="1"/>
  <c r="T169" i="3" a="1"/>
  <c r="W64" i="3" a="1"/>
  <c r="Q88" i="3" a="1"/>
  <c r="W171" i="3" a="1"/>
  <c r="Y174" i="3" a="1"/>
  <c r="A141" i="3" a="1"/>
  <c r="J30" i="3" a="1"/>
  <c r="AA118" i="3" a="1"/>
  <c r="R144" i="3" a="1"/>
  <c r="AB239" i="3" a="1"/>
  <c r="AB222" i="3" a="1"/>
  <c r="AC220" i="3" a="1"/>
  <c r="M213" i="3" a="1"/>
  <c r="K138" i="3" a="1"/>
  <c r="J116" i="3" a="1"/>
  <c r="J37" i="3" a="1"/>
  <c r="K212" i="3" a="1"/>
  <c r="T217" i="3" a="1"/>
  <c r="AD14" i="3" a="1"/>
  <c r="V248" i="3" a="1"/>
  <c r="A92" i="3" a="1"/>
  <c r="H86" i="3" a="1"/>
  <c r="W29" i="3" a="1"/>
  <c r="H203" i="3" a="1"/>
  <c r="J84" i="3" a="1"/>
  <c r="W12" i="3" a="1"/>
  <c r="AB23" i="3" a="1"/>
  <c r="K251" i="3" a="1"/>
  <c r="J41" i="3" a="1"/>
  <c r="A188" i="3" a="1"/>
  <c r="Z250" i="3" a="1"/>
  <c r="N173" i="3" a="1"/>
  <c r="AD147" i="3" a="1"/>
  <c r="K219" i="3" a="1"/>
  <c r="U231" i="3" a="1"/>
  <c r="A88" i="3" a="1"/>
  <c r="B71" i="3" a="1"/>
  <c r="O69" i="3" a="1"/>
  <c r="F162" i="3" a="1"/>
  <c r="AD118" i="3" a="1"/>
  <c r="G161" i="3" a="1"/>
  <c r="H234" i="3" a="1"/>
  <c r="F208" i="3" a="1"/>
  <c r="P31" i="3" a="1"/>
  <c r="V35" i="3" a="1"/>
  <c r="Z11" i="3" a="1"/>
  <c r="K31" i="3" a="1"/>
  <c r="K160" i="3" a="1"/>
  <c r="AB242" i="3" a="1"/>
  <c r="C139" i="3" a="1"/>
  <c r="V111" i="3" a="1"/>
  <c r="K116" i="3" a="1"/>
  <c r="R49" i="3" a="1"/>
  <c r="AD196" i="3" a="1"/>
  <c r="G181" i="3" a="1"/>
  <c r="F117" i="3" a="1"/>
  <c r="S188" i="3" a="1"/>
  <c r="J186" i="3" a="1"/>
  <c r="G118" i="3" a="1"/>
  <c r="D30" i="3" a="1"/>
  <c r="X40" i="3" a="1"/>
  <c r="AC86" i="3" a="1"/>
  <c r="AA201" i="3" a="1"/>
  <c r="K83" i="3" a="1"/>
  <c r="S71" i="3" a="1"/>
  <c r="G28" i="3" a="1"/>
  <c r="AA244" i="3" a="1"/>
  <c r="H215" i="3" a="1"/>
  <c r="AC110" i="3" a="1"/>
  <c r="G212" i="3" a="1"/>
  <c r="D50" i="3" a="1"/>
  <c r="P251" i="3" a="1"/>
  <c r="R56" i="3" a="1"/>
  <c r="W93" i="3" a="1"/>
  <c r="G159" i="3" a="1"/>
  <c r="J177" i="3" a="1"/>
  <c r="G145" i="3" a="1"/>
  <c r="L187" i="3" a="1"/>
  <c r="AB250" i="3" a="1"/>
  <c r="K217" i="3" a="1"/>
  <c r="B218" i="3" a="1"/>
  <c r="L11" i="3" a="1"/>
  <c r="I174" i="3" a="1"/>
  <c r="C234" i="3" a="1"/>
  <c r="B243" i="3" a="1"/>
  <c r="R117" i="3" a="1"/>
  <c r="F32" i="3" a="1"/>
  <c r="G146" i="3" a="1"/>
  <c r="F28" i="3" a="1"/>
  <c r="F83" i="3" a="1"/>
  <c r="I69" i="3" a="1"/>
  <c r="F99" i="3" a="1"/>
  <c r="W238" i="3" a="1"/>
  <c r="I31" i="3" a="1"/>
  <c r="O145" i="3" a="1"/>
  <c r="B161" i="3" a="1"/>
  <c r="L78" i="3" a="1"/>
  <c r="O129" i="3" a="1"/>
  <c r="N211" i="3" a="1"/>
  <c r="A158" i="3" a="1"/>
  <c r="G179" i="3" a="1"/>
  <c r="X250" i="3" a="1"/>
  <c r="M50" i="3" a="1"/>
  <c r="M139" i="3" a="1"/>
  <c r="M167" i="3" a="1"/>
  <c r="T101" i="3" a="1"/>
  <c r="F118" i="3" a="1"/>
  <c r="X233" i="3" a="1"/>
  <c r="P145" i="3" a="1"/>
  <c r="N179" i="3" a="1"/>
  <c r="D40" i="3" a="1"/>
  <c r="P191" i="3" a="1"/>
  <c r="H158" i="3" a="1"/>
  <c r="J66" i="3" a="1"/>
  <c r="A12" i="3" a="1"/>
  <c r="U193" i="3" a="1"/>
  <c r="P156" i="3" a="1"/>
  <c r="O141" i="3" a="1"/>
  <c r="W51" i="3" a="1"/>
  <c r="E169" i="3" a="1"/>
  <c r="Z35" i="3" a="1"/>
  <c r="J219" i="3" a="1"/>
  <c r="U81" i="3" a="1"/>
  <c r="X147" i="3" a="1"/>
  <c r="N82" i="3" a="1"/>
  <c r="I216" i="3" a="1"/>
  <c r="Y12" i="3" a="1"/>
  <c r="Q199" i="3" a="1"/>
  <c r="AB200" i="3" a="1"/>
  <c r="W208" i="3" a="1"/>
  <c r="E23" i="3" a="1"/>
  <c r="AD167" i="3" a="1"/>
  <c r="AB116" i="3" a="1"/>
  <c r="E233" i="3" a="1"/>
  <c r="AB63" i="3" a="1"/>
  <c r="R215" i="3" a="1"/>
  <c r="H43" i="3" a="1"/>
  <c r="D51" i="3" a="1"/>
  <c r="K161" i="3" a="1"/>
  <c r="I50" i="3" a="1"/>
  <c r="P84" i="3" a="1"/>
  <c r="K198" i="3" a="1"/>
  <c r="T176" i="3" a="1"/>
  <c r="Z12" i="3" a="1"/>
  <c r="E136" i="3" a="1"/>
  <c r="F27" i="3" a="1"/>
  <c r="P63" i="3" a="1"/>
  <c r="F187" i="3" a="1"/>
  <c r="C159" i="3" a="1"/>
  <c r="H80" i="3" a="1"/>
  <c r="Z201" i="3" a="1"/>
  <c r="Z180" i="3" a="1"/>
  <c r="D222" i="3" a="1"/>
  <c r="B81" i="3" a="1"/>
  <c r="F7" i="3" a="1"/>
  <c r="Q125" i="3" a="1"/>
  <c r="AC136" i="3" a="1"/>
  <c r="H235" i="3" a="1"/>
  <c r="AA57" i="3" a="1"/>
  <c r="E108" i="3" a="1"/>
  <c r="Q184" i="3" a="1"/>
  <c r="L73" i="3" a="1"/>
  <c r="AA255" i="3" a="1"/>
  <c r="G111" i="3" a="1"/>
  <c r="M58" i="3" a="1"/>
  <c r="A240" i="3" a="1"/>
  <c r="J245" i="3" a="1"/>
  <c r="AD154" i="3" a="1"/>
  <c r="Y87" i="3" a="1"/>
  <c r="B12" i="3" a="1"/>
  <c r="D247" i="3" a="1"/>
  <c r="L12" i="3" a="1"/>
  <c r="Z79" i="3" a="1"/>
  <c r="C209" i="3" a="1"/>
  <c r="AA120" i="3" a="1"/>
  <c r="Y120" i="3" a="1"/>
  <c r="T110" i="3" a="1"/>
  <c r="C104" i="3" a="1"/>
  <c r="S235" i="3" a="1"/>
  <c r="F85" i="3" a="1"/>
  <c r="J82" i="3" a="1"/>
  <c r="B202" i="3" a="1"/>
  <c r="N49" i="3" a="1"/>
  <c r="X255" i="3" a="1"/>
  <c r="C117" i="3" a="1"/>
  <c r="AC235" i="3" a="1"/>
  <c r="Y239" i="3" a="1"/>
  <c r="V28" i="3" a="1"/>
  <c r="Z137" i="3" a="1"/>
  <c r="N23" i="3" a="1"/>
  <c r="N73" i="3" a="1"/>
  <c r="F93" i="3" a="1"/>
  <c r="P20" i="3" a="1"/>
  <c r="D128" i="3" a="1"/>
  <c r="M242" i="3" a="1"/>
  <c r="AA21" i="3" a="1"/>
  <c r="J250" i="3" a="1"/>
  <c r="X155" i="3" a="1"/>
  <c r="AB159" i="3" a="1"/>
  <c r="AA240" i="3" a="1"/>
  <c r="X58" i="3" a="1"/>
  <c r="AC238" i="3" a="1"/>
  <c r="R43" i="3" a="1"/>
  <c r="Y18" i="3" a="1"/>
  <c r="B149" i="3" a="1"/>
  <c r="P101" i="3" a="1"/>
  <c r="K105" i="3" a="1"/>
  <c r="AD126" i="3" a="1"/>
  <c r="AC24" i="3" a="1"/>
  <c r="I128" i="3" a="1"/>
  <c r="Z252" i="3" a="1"/>
  <c r="H3" i="3" a="1"/>
  <c r="W235" i="3" a="1"/>
  <c r="D243" i="3" a="1"/>
  <c r="R180" i="3" a="1"/>
  <c r="AB7" i="3" a="1"/>
  <c r="A130" i="3" a="1"/>
  <c r="N208" i="3" a="1"/>
  <c r="T100" i="3" a="1"/>
  <c r="Z211" i="3" a="1"/>
  <c r="I19" i="3" a="1"/>
  <c r="L142" i="3" a="1"/>
  <c r="E147" i="3" a="1"/>
  <c r="L34" i="3" a="1"/>
  <c r="N229" i="3" a="1"/>
  <c r="H229" i="3" a="1"/>
  <c r="N203" i="3" a="1"/>
  <c r="Q173" i="3" a="1"/>
  <c r="A229" i="3" a="1"/>
  <c r="W212" i="3" a="1"/>
  <c r="L184" i="3" a="1"/>
  <c r="G98" i="3" a="1"/>
  <c r="Q244" i="3" a="1"/>
  <c r="AC145" i="3" a="1"/>
  <c r="C23" i="3" a="1"/>
  <c r="AB131" i="3" a="1"/>
  <c r="P137" i="3" a="1"/>
  <c r="W232" i="3" a="1"/>
  <c r="AC41" i="3" a="1"/>
  <c r="AC231" i="3" a="1"/>
  <c r="AD221" i="3" a="1"/>
  <c r="M74" i="3" a="1"/>
  <c r="P75" i="3" a="1"/>
  <c r="K88" i="3" a="1"/>
  <c r="W14" i="3" a="1"/>
  <c r="X226" i="3" a="1"/>
  <c r="K180" i="3" a="1"/>
  <c r="Q218" i="3" a="1"/>
  <c r="K129" i="3" a="1"/>
  <c r="AA204" i="3" a="1"/>
  <c r="D102" i="3" a="1"/>
  <c r="R184" i="3" a="1"/>
  <c r="M9" i="3" a="1"/>
  <c r="R54" i="3" a="1"/>
  <c r="J93" i="3" a="1"/>
  <c r="T160" i="3" a="1"/>
  <c r="B145" i="3" a="1"/>
  <c r="AC46" i="3" a="1"/>
  <c r="B250" i="3" a="1"/>
  <c r="V130" i="3" a="1"/>
  <c r="K30" i="3" a="1"/>
  <c r="S56" i="3" a="1"/>
  <c r="N212" i="3" a="1"/>
  <c r="O23" i="3" a="1"/>
  <c r="K13" i="3" a="1"/>
  <c r="F237" i="3" a="1"/>
  <c r="Y134" i="3" a="1"/>
  <c r="S199" i="3" a="1"/>
  <c r="Q25" i="3" a="1"/>
  <c r="J205" i="3" a="1"/>
  <c r="AB41" i="3" a="1"/>
  <c r="W230" i="3" a="1"/>
  <c r="R62" i="3" a="1"/>
  <c r="D230" i="3" a="1"/>
  <c r="G62" i="3" a="1"/>
  <c r="AA33" i="3" a="1"/>
  <c r="V140" i="3" a="1"/>
  <c r="Q105" i="3" a="1"/>
  <c r="S88" i="3" a="1"/>
  <c r="H249" i="3" a="1"/>
  <c r="B105" i="3" a="1"/>
  <c r="G249" i="3" a="1"/>
  <c r="AB204" i="3" a="1"/>
  <c r="N133" i="3" a="1"/>
  <c r="X212" i="3" a="1"/>
  <c r="J203" i="3" a="1"/>
  <c r="M186" i="3" a="1"/>
  <c r="K94" i="3" a="1"/>
  <c r="AC146" i="3" a="1"/>
  <c r="V134" i="3" a="1"/>
  <c r="K158" i="3" a="1"/>
  <c r="O174" i="3" a="1"/>
  <c r="M23" i="3" a="1"/>
  <c r="N77" i="3" a="1"/>
  <c r="B32" i="3" a="1"/>
  <c r="Q138" i="3" a="1"/>
  <c r="S101" i="3" a="1"/>
  <c r="K21" i="3" a="1"/>
  <c r="D137" i="3" a="1"/>
  <c r="L41" i="3" a="1"/>
  <c r="H200" i="3" a="1"/>
  <c r="K226" i="3" a="1"/>
  <c r="I62" i="3" a="1"/>
  <c r="D72" i="3" a="1"/>
  <c r="O138" i="3" a="1"/>
  <c r="L156" i="3" a="1"/>
  <c r="G13" i="3" a="1"/>
  <c r="V100" i="3" a="1"/>
  <c r="P32" i="3" a="1"/>
  <c r="AC43" i="3" a="1"/>
  <c r="M194" i="3" a="1"/>
  <c r="J87" i="3" a="1"/>
  <c r="G57" i="3" a="1"/>
  <c r="S166" i="3" a="1"/>
  <c r="V131" i="3" a="1"/>
  <c r="Q147" i="3" a="1"/>
  <c r="AD90" i="3" a="1"/>
  <c r="Y155" i="3" a="1"/>
  <c r="E191" i="3" a="1"/>
  <c r="S32" i="3" a="1"/>
  <c r="Y41" i="3" a="1"/>
  <c r="N247" i="3" a="1"/>
  <c r="B238" i="3" a="1"/>
  <c r="H30" i="3" a="1"/>
  <c r="F159" i="3" a="1"/>
  <c r="O100" i="3" a="1"/>
  <c r="AA10" i="3" a="1"/>
  <c r="E229" i="3" a="1"/>
  <c r="N163" i="3" a="1"/>
  <c r="Y124" i="3" a="1"/>
  <c r="K75" i="3" a="1"/>
  <c r="L100" i="3" a="1"/>
  <c r="E206" i="3" a="1"/>
  <c r="Y2" i="3" a="1"/>
  <c r="T234" i="3" a="1"/>
  <c r="R148" i="3" a="1"/>
  <c r="E159" i="3" a="1"/>
  <c r="V36" i="3" a="1"/>
  <c r="AB208" i="3" a="1"/>
  <c r="T203" i="3" a="1"/>
  <c r="M250" i="3" a="1"/>
  <c r="Q177" i="3" a="1"/>
  <c r="Y144" i="3" a="1"/>
  <c r="H177" i="3" a="1"/>
  <c r="A187" i="3" a="1"/>
  <c r="G9" i="3" a="1"/>
  <c r="AA210" i="3" a="1"/>
  <c r="R84" i="3" a="1"/>
  <c r="B51" i="3" a="1"/>
  <c r="U97" i="3" a="1"/>
  <c r="A52" i="3" a="1"/>
  <c r="T108" i="3" a="1"/>
  <c r="N18" i="3" a="1"/>
  <c r="AA218" i="3" a="1"/>
  <c r="B109" i="3" a="1"/>
  <c r="Z174" i="3" a="1"/>
  <c r="J160" i="3" a="1"/>
  <c r="J128" i="3" a="1"/>
  <c r="N150" i="3" a="1"/>
  <c r="J152" i="3" a="1"/>
  <c r="E58" i="3" a="1"/>
  <c r="G169" i="3" a="1"/>
  <c r="F245" i="3" a="1"/>
  <c r="K225" i="3" a="1"/>
  <c r="G7" i="3" a="1"/>
  <c r="Z51" i="3" a="1"/>
  <c r="H11" i="3" a="1"/>
  <c r="F190" i="3" a="1"/>
  <c r="W151" i="3" a="1"/>
  <c r="Z114" i="3" a="1"/>
  <c r="M214" i="3" a="1"/>
  <c r="A202" i="3" a="1"/>
  <c r="S232" i="3" a="1"/>
  <c r="E114" i="3" a="1"/>
  <c r="Q249" i="3" a="1"/>
  <c r="T69" i="3" a="1"/>
  <c r="E110" i="3" a="1"/>
  <c r="D156" i="3" a="1"/>
  <c r="L23" i="3" a="1"/>
  <c r="Q223" i="3" a="1"/>
  <c r="AC4" i="3" a="1"/>
  <c r="E64" i="3" a="1"/>
  <c r="N223" i="3" a="1"/>
  <c r="U168" i="3" a="1"/>
  <c r="U220" i="3" a="1"/>
  <c r="O133" i="3" a="1"/>
  <c r="R225" i="3" a="1"/>
  <c r="AC34" i="3" a="1"/>
  <c r="P235" i="3" a="1"/>
  <c r="V144" i="3" a="1"/>
  <c r="E102" i="3" a="1"/>
  <c r="AB56" i="3" a="1"/>
  <c r="Y246" i="3" a="1"/>
  <c r="P132" i="3" a="1"/>
  <c r="A75" i="3" a="1"/>
  <c r="R156" i="3" a="1"/>
  <c r="O173" i="3" a="1"/>
  <c r="T52" i="3" a="1"/>
  <c r="D245" i="3" a="1"/>
  <c r="X195" i="3" a="1"/>
  <c r="A250" i="3" a="1"/>
  <c r="J171" i="3" a="1"/>
  <c r="AA119" i="3" a="1"/>
  <c r="M7" i="3" a="1"/>
  <c r="O42" i="3" a="1"/>
  <c r="B170" i="3" a="1"/>
  <c r="Y116" i="3" a="1"/>
  <c r="T21" i="3" a="1"/>
  <c r="M80" i="3" a="1"/>
  <c r="AA199" i="3" a="1"/>
  <c r="I210" i="3" a="1"/>
  <c r="O118" i="3" a="1"/>
  <c r="P8" i="3" a="1"/>
  <c r="Q224" i="3" a="1"/>
  <c r="T60" i="3" a="1"/>
  <c r="AD121" i="3" a="1"/>
  <c r="D81" i="3" a="1"/>
  <c r="F232" i="3" a="1"/>
  <c r="V199" i="3" a="1"/>
  <c r="O160" i="3" a="1"/>
  <c r="Y33" i="3" a="1"/>
  <c r="A100" i="3" a="1"/>
  <c r="H135" i="3" a="1"/>
  <c r="AC56" i="3" a="1"/>
  <c r="Q217" i="3" a="1"/>
  <c r="I93" i="3" a="1"/>
  <c r="R233" i="3" a="1"/>
  <c r="B57" i="3" a="1"/>
  <c r="A209" i="3" a="1"/>
  <c r="R216" i="3" a="1"/>
  <c r="H55" i="3" a="1"/>
  <c r="X61" i="3" a="1"/>
  <c r="N213" i="3" a="1"/>
  <c r="I76" i="3" a="1"/>
  <c r="Z228" i="3" a="1"/>
  <c r="D194" i="3" a="1"/>
  <c r="P106" i="3" a="1"/>
  <c r="K213" i="3" a="1"/>
  <c r="X184" i="3" a="1"/>
  <c r="G197" i="3" a="1"/>
  <c r="G29" i="3" a="1"/>
  <c r="G248" i="3" a="1"/>
  <c r="D173" i="3" a="1"/>
  <c r="G206" i="3" a="1"/>
  <c r="U11" i="3" a="1"/>
  <c r="H76" i="3" a="1"/>
  <c r="E166" i="3" a="1"/>
  <c r="S172" i="3" a="1"/>
  <c r="N68" i="3" a="1"/>
  <c r="AA175" i="3" a="1"/>
  <c r="T33" i="3" a="1"/>
  <c r="V154" i="3" a="1"/>
  <c r="H54" i="3" a="1"/>
  <c r="H95" i="3" a="1"/>
  <c r="AB44" i="3" a="1"/>
  <c r="H7" i="3" a="1"/>
  <c r="K239" i="3" a="1"/>
  <c r="A44" i="3" a="1"/>
  <c r="AC160" i="3" a="1"/>
  <c r="Q71" i="3" a="1"/>
  <c r="V158" i="3" a="1"/>
  <c r="AC82" i="3" a="1"/>
  <c r="Z143" i="3" a="1"/>
  <c r="U162" i="3" a="1"/>
  <c r="Q41" i="3" a="1"/>
  <c r="W210" i="3" a="1"/>
  <c r="L49" i="3" a="1"/>
  <c r="J81" i="3" a="1"/>
  <c r="Q65" i="3" a="1"/>
  <c r="Q140" i="3" a="1"/>
  <c r="Q30" i="3" a="1"/>
  <c r="S27" i="3" a="1"/>
  <c r="B240" i="3" a="1"/>
  <c r="G21" i="3" a="1"/>
  <c r="E124" i="3" a="1"/>
  <c r="J56" i="3" a="1"/>
  <c r="J44" i="3" a="1"/>
  <c r="D127" i="3" a="1"/>
  <c r="M131" i="3" a="1"/>
  <c r="AC254" i="3" a="1"/>
  <c r="W243" i="3" a="1"/>
  <c r="Q148" i="3" a="1"/>
  <c r="AB161" i="3" a="1"/>
  <c r="P83" i="3" a="1"/>
  <c r="F29" i="3" a="1"/>
  <c r="Y80" i="3" a="1"/>
  <c r="AA239" i="3" a="1"/>
  <c r="T209" i="3" a="1"/>
  <c r="N226" i="3" a="1"/>
  <c r="X220" i="3" a="1"/>
  <c r="E35" i="3" a="1"/>
  <c r="A6" i="3" a="1"/>
  <c r="V105" i="3" a="1"/>
  <c r="AA147" i="3" a="1"/>
  <c r="B17" i="3" a="1"/>
  <c r="B82" i="3" a="1"/>
  <c r="M63" i="3" a="1"/>
  <c r="AB9" i="3" a="1"/>
  <c r="C16" i="3" a="1"/>
  <c r="R229" i="3" a="1"/>
  <c r="N232" i="3" a="1"/>
  <c r="L8" i="3" a="1"/>
  <c r="F244" i="3" a="1"/>
  <c r="I140" i="3" a="1"/>
  <c r="Y57" i="3" a="1"/>
  <c r="F51" i="3" a="1"/>
  <c r="J149" i="3" a="1"/>
  <c r="Z176" i="3" a="1"/>
  <c r="F239" i="3" a="1"/>
  <c r="J124" i="3" a="1"/>
  <c r="AC142" i="3" a="1"/>
  <c r="C176" i="3" a="1"/>
  <c r="R203" i="3" a="1"/>
  <c r="U54" i="3" a="1"/>
  <c r="F18" i="3" a="1"/>
  <c r="E30" i="3" a="1"/>
  <c r="J38" i="3" a="1"/>
  <c r="A208" i="3" a="1"/>
  <c r="R93" i="3" a="1"/>
  <c r="B154" i="3" a="1"/>
  <c r="P218" i="3" a="1"/>
  <c r="D142" i="3" a="1"/>
  <c r="A45" i="3" a="1"/>
  <c r="I73" i="3" a="1"/>
  <c r="K96" i="3" a="1"/>
  <c r="D204" i="3" a="1"/>
  <c r="R79" i="3" a="1"/>
  <c r="AD82" i="3" a="1"/>
  <c r="L162" i="3" a="1"/>
  <c r="H244" i="3" a="1"/>
  <c r="D34" i="3" a="1"/>
  <c r="H61" i="3" a="1"/>
  <c r="V153" i="3" a="1"/>
  <c r="K245" i="3" a="1"/>
  <c r="L42" i="3" a="1"/>
  <c r="B137" i="3" a="1"/>
  <c r="Y158" i="3" a="1"/>
  <c r="T37" i="3" a="1"/>
  <c r="R42" i="3" a="1"/>
  <c r="J39" i="3" a="1"/>
  <c r="V178" i="3" a="1"/>
  <c r="M99" i="3" a="1"/>
  <c r="C58" i="3" a="1"/>
  <c r="T252" i="3" a="1"/>
  <c r="K38" i="3" a="1"/>
  <c r="J86" i="3" a="1"/>
  <c r="F39" i="3" a="1"/>
  <c r="Q236" i="3" a="1"/>
  <c r="H202" i="3" a="1"/>
  <c r="R11" i="3" a="1"/>
  <c r="R243" i="3" a="1"/>
  <c r="AA217" i="3" a="1"/>
  <c r="L9" i="3" a="1"/>
  <c r="F57" i="3" a="1"/>
  <c r="M148" i="3" a="1"/>
  <c r="K169" i="3" a="1"/>
  <c r="Z121" i="3" a="1"/>
  <c r="AC93" i="3" a="1"/>
  <c r="AB45" i="3" a="1"/>
  <c r="X215" i="3" a="1"/>
  <c r="D69" i="3" a="1"/>
  <c r="N31" i="3" a="1"/>
  <c r="N162" i="3" a="1"/>
  <c r="O148" i="3" a="1"/>
  <c r="C174" i="3" a="1"/>
  <c r="F195" i="3" a="1"/>
  <c r="X222" i="3" a="1"/>
  <c r="M248" i="3" a="1"/>
  <c r="R185" i="3" a="1"/>
  <c r="AC165" i="3" a="1"/>
  <c r="K104" i="3" a="1"/>
  <c r="J241" i="3" a="1"/>
  <c r="AA88" i="3" a="1"/>
  <c r="X66" i="3" a="1"/>
  <c r="AC85" i="3" a="1"/>
  <c r="Y77" i="3" a="1"/>
  <c r="AD104" i="3" a="1"/>
  <c r="Z118" i="3" a="1"/>
  <c r="Q248" i="3" a="1"/>
  <c r="I183" i="3" a="1"/>
  <c r="A53" i="3" a="1"/>
  <c r="U72" i="3" a="1"/>
  <c r="X133" i="3" a="1"/>
  <c r="Z122" i="3" a="1"/>
  <c r="V52" i="3" a="1"/>
  <c r="Q46" i="3" a="1"/>
  <c r="AC39" i="3" a="1"/>
  <c r="P62" i="3" a="1"/>
  <c r="H62" i="3" a="1"/>
  <c r="AB71" i="3" a="1"/>
  <c r="I67" i="3" a="1"/>
  <c r="L10" i="3" a="1"/>
  <c r="I120" i="3" a="1"/>
  <c r="K26" i="3" a="1"/>
  <c r="O155" i="3" a="1"/>
  <c r="S121" i="3" a="1"/>
  <c r="A123" i="3" a="1"/>
  <c r="T13" i="3" a="1"/>
  <c r="AD241" i="3" a="1"/>
  <c r="V136" i="3" a="1"/>
  <c r="AB126" i="3" a="1"/>
  <c r="F61" i="3" a="1"/>
  <c r="AC211" i="3" a="1"/>
  <c r="T34" i="3" a="1"/>
  <c r="H184" i="3" a="1"/>
  <c r="N46" i="3" a="1"/>
  <c r="M217" i="3" a="1"/>
  <c r="AD135" i="3" a="1"/>
  <c r="I160" i="3" a="1"/>
  <c r="AB216" i="3" a="1"/>
  <c r="F168" i="3" a="1"/>
  <c r="M225" i="3" a="1"/>
  <c r="J185" i="3" a="1"/>
  <c r="D67" i="3" a="1"/>
  <c r="A179" i="3" a="1"/>
  <c r="D119" i="3" a="1"/>
  <c r="D208" i="3" a="1"/>
  <c r="D164" i="3" a="1"/>
  <c r="O152" i="3" a="1"/>
  <c r="O176" i="3" a="1"/>
  <c r="J94" i="3" a="1"/>
  <c r="O86" i="3" a="1"/>
  <c r="S143" i="3" a="1"/>
  <c r="G44" i="3" a="1"/>
  <c r="F89" i="3" a="1"/>
  <c r="Q163" i="3" a="1"/>
  <c r="I59" i="3" a="1"/>
  <c r="O188" i="3" a="1"/>
  <c r="I85" i="3" a="1"/>
  <c r="L2" i="3" a="1"/>
  <c r="K235" i="3" a="1"/>
  <c r="K154" i="3" a="1"/>
  <c r="T185" i="3" a="1"/>
  <c r="J151" i="3" a="1"/>
  <c r="I15" i="3" a="1"/>
  <c r="AA206" i="3" a="1"/>
  <c r="X251" i="3" a="1"/>
  <c r="O83" i="3" a="1"/>
  <c r="AD3" i="3" a="1"/>
  <c r="R108" i="3" a="1"/>
  <c r="AA127" i="3" a="1"/>
  <c r="W255" i="3" a="1"/>
  <c r="R17" i="3" a="1"/>
  <c r="T148" i="3" a="1"/>
  <c r="T125" i="3" a="1"/>
  <c r="P41" i="3" a="1"/>
  <c r="AC177" i="3" a="1"/>
  <c r="X80" i="3" a="1"/>
  <c r="C31" i="3" a="1"/>
  <c r="S224" i="3" a="1"/>
  <c r="D106" i="3" a="1"/>
  <c r="AA124" i="3" a="1"/>
  <c r="AA25" i="3" a="1"/>
  <c r="K14" i="3" a="1"/>
  <c r="P214" i="3" a="1"/>
  <c r="T119" i="3" a="1"/>
  <c r="W55" i="3" a="1"/>
  <c r="C60" i="3" a="1"/>
  <c r="E51" i="3" a="1"/>
  <c r="N245" i="3" a="1"/>
  <c r="R238" i="3" a="1"/>
  <c r="AA194" i="3" a="1"/>
  <c r="AC33" i="3" a="1"/>
  <c r="AB205" i="3" a="1"/>
  <c r="M48" i="3" a="1"/>
  <c r="V128" i="3" a="1"/>
  <c r="M251" i="3" a="1"/>
  <c r="E187" i="3" a="1"/>
  <c r="AD29" i="3" a="1"/>
  <c r="F12" i="3" a="1"/>
  <c r="R182" i="3" a="1"/>
  <c r="O113" i="3" a="1"/>
  <c r="T207" i="3" a="1"/>
  <c r="K230" i="3" a="1"/>
  <c r="B54" i="3" a="1"/>
  <c r="B179" i="3" a="1"/>
  <c r="A33" i="3" a="1"/>
  <c r="AB211" i="3" a="1"/>
  <c r="M203" i="3" a="1"/>
  <c r="M46" i="3" a="1"/>
  <c r="X82" i="3" a="1"/>
  <c r="J214" i="3" a="1"/>
  <c r="U170" i="3" a="1"/>
  <c r="F243" i="3" a="1"/>
  <c r="L43" i="3" a="1"/>
  <c r="I139" i="3" a="1"/>
  <c r="E122" i="3" a="1"/>
  <c r="X231" i="3" a="1"/>
  <c r="S229" i="3" a="1"/>
  <c r="K191" i="3" a="1"/>
  <c r="Z190" i="3" a="1"/>
  <c r="AC203" i="3" a="1"/>
  <c r="F133" i="3" a="1"/>
  <c r="L92" i="3" a="1"/>
  <c r="Z22" i="3" a="1"/>
  <c r="AA142" i="3" a="1"/>
  <c r="AB128" i="3" a="1"/>
  <c r="Q141" i="3" a="1"/>
  <c r="N43" i="3" a="1"/>
  <c r="AD224" i="3" a="1"/>
  <c r="F158" i="3" a="1"/>
  <c r="G34" i="3" a="1"/>
  <c r="F185" i="3" a="1"/>
  <c r="T19" i="3" a="1"/>
  <c r="H90" i="3" a="1"/>
  <c r="AB77" i="3" a="1"/>
  <c r="J139" i="3" a="1"/>
  <c r="L110" i="3" a="1"/>
  <c r="B60" i="3" a="1"/>
  <c r="X216" i="3" a="1"/>
  <c r="X126" i="3" a="1"/>
  <c r="Z203" i="3" a="1"/>
  <c r="B183" i="3" a="1"/>
  <c r="V194" i="3" a="1"/>
  <c r="C102" i="3" a="1"/>
  <c r="Q182" i="3" a="1"/>
  <c r="C181" i="3" a="1"/>
  <c r="Y96" i="3" a="1"/>
  <c r="T83" i="3" a="1"/>
  <c r="P51" i="3" a="1"/>
  <c r="AC81" i="3" a="1"/>
  <c r="K133" i="3" a="1"/>
  <c r="C185" i="3" a="1"/>
  <c r="D166" i="3" a="1"/>
  <c r="F241" i="3" a="1"/>
  <c r="E225" i="3" a="1"/>
  <c r="P212" i="3" a="1"/>
  <c r="R204" i="3" a="1"/>
  <c r="AA238" i="3" a="1"/>
  <c r="D226" i="3" a="1"/>
  <c r="G245" i="3" a="1"/>
  <c r="G225" i="3" a="1"/>
  <c r="F202" i="3" a="1"/>
  <c r="AA58" i="3" a="1"/>
  <c r="K103" i="3" a="1"/>
  <c r="N144" i="3" a="1"/>
  <c r="P187" i="3" a="1"/>
  <c r="C7" i="3" a="1"/>
  <c r="E39" i="3" a="1"/>
  <c r="U62" i="3" a="1"/>
  <c r="G42" i="3" a="1"/>
  <c r="K91" i="3" a="1"/>
  <c r="D23" i="3" a="1"/>
  <c r="O182" i="3" a="1"/>
  <c r="E48" i="3" a="1"/>
  <c r="R52" i="3" a="1"/>
  <c r="AA242" i="3" a="1"/>
  <c r="Y104" i="3" a="1"/>
  <c r="K182" i="3" a="1"/>
  <c r="F217" i="3" a="1"/>
  <c r="F46" i="3" a="1"/>
  <c r="I199" i="3" a="1"/>
  <c r="AD244" i="3" a="1"/>
  <c r="N118" i="3" a="1"/>
  <c r="AD50" i="3" a="1"/>
  <c r="T180" i="3" a="1"/>
  <c r="B200" i="3" a="1"/>
  <c r="T28" i="3" a="1"/>
  <c r="AA86" i="3" a="1"/>
  <c r="V58" i="3" a="1"/>
  <c r="P89" i="3" a="1"/>
  <c r="N159" i="3" a="1"/>
  <c r="D118" i="3" a="1"/>
  <c r="H185" i="3" a="1"/>
  <c r="W251" i="3" a="1"/>
  <c r="Y15" i="3" a="1"/>
  <c r="D227" i="3" a="1"/>
  <c r="C242" i="3" a="1"/>
  <c r="E92" i="3" a="1"/>
  <c r="A101" i="3" a="1"/>
  <c r="O64" i="3" a="1"/>
  <c r="F219" i="3" a="1"/>
  <c r="H52" i="3" a="1"/>
  <c r="N54" i="3" a="1"/>
  <c r="AB89" i="3" a="1"/>
  <c r="Y143" i="3" a="1"/>
  <c r="L168" i="3" a="1"/>
  <c r="E119" i="3" a="1"/>
  <c r="AC138" i="3" a="1"/>
  <c r="Q19" i="3" a="1"/>
  <c r="K122" i="3" a="1"/>
  <c r="T225" i="3" a="1"/>
  <c r="K45" i="3" a="1"/>
  <c r="AD162" i="3" a="1"/>
  <c r="T70" i="3" a="1"/>
  <c r="C26" i="3" a="1"/>
  <c r="Z111" i="3" a="1"/>
  <c r="AD75" i="3" a="1"/>
  <c r="Y91" i="3" a="1"/>
  <c r="F4" i="3" a="1"/>
  <c r="Y227" i="3" a="1"/>
  <c r="AD27" i="3" a="1"/>
  <c r="F53" i="3" a="1"/>
  <c r="U232" i="3" a="1"/>
  <c r="K248" i="3" a="1"/>
  <c r="O131" i="3" a="1"/>
  <c r="Q122" i="3" a="1"/>
  <c r="L226" i="3" a="1"/>
  <c r="X119" i="3" a="1"/>
  <c r="E179" i="3" a="1"/>
  <c r="X42" i="3" a="1"/>
  <c r="W65" i="3" a="1"/>
  <c r="AC65" i="3" a="1"/>
  <c r="T7" i="3" a="1"/>
  <c r="M39" i="3" a="1"/>
  <c r="E37" i="3" a="1"/>
  <c r="S12" i="3" a="1"/>
  <c r="N14" i="3" a="1"/>
  <c r="R15" i="3" a="1"/>
  <c r="O189" i="3" a="1"/>
  <c r="Y160" i="3" a="1"/>
  <c r="L199" i="3" a="1"/>
  <c r="H64" i="3" a="1"/>
  <c r="Q2" i="3" a="1"/>
  <c r="P103" i="3" a="1"/>
  <c r="W7" i="3" a="1"/>
  <c r="V171" i="3" a="1"/>
  <c r="X48" i="3" a="1"/>
  <c r="P3" i="3" a="1"/>
  <c r="H36" i="3" a="1"/>
  <c r="I21" i="3" a="1"/>
  <c r="J101" i="3" a="1"/>
  <c r="A50" i="3" a="1"/>
  <c r="N233" i="3" a="1"/>
  <c r="L147" i="3" a="1"/>
  <c r="M153" i="3" a="1"/>
  <c r="B97" i="3" a="1"/>
  <c r="U135" i="3" a="1"/>
  <c r="U115" i="3" a="1"/>
  <c r="J201" i="3" a="1"/>
  <c r="H9" i="3" a="1"/>
  <c r="A113" i="3" a="1"/>
  <c r="O22" i="3" a="1"/>
  <c r="U254" i="3" a="1"/>
  <c r="H49" i="3" a="1"/>
  <c r="B176" i="3" a="1"/>
  <c r="N158" i="3" a="1"/>
  <c r="G252" i="3" a="1"/>
  <c r="R38" i="3" a="1"/>
  <c r="F236" i="3" a="1"/>
  <c r="X161" i="3" a="1"/>
  <c r="H175" i="3" a="1"/>
  <c r="E69" i="3" a="1"/>
  <c r="AC149" i="3" a="1"/>
  <c r="M113" i="3" a="1"/>
  <c r="U63" i="3" a="1"/>
  <c r="D132" i="3" a="1"/>
  <c r="C251" i="3" a="1"/>
  <c r="C177" i="3" a="1"/>
  <c r="R94" i="3" a="1"/>
  <c r="W120" i="3" a="1"/>
  <c r="Y27" i="3" a="1"/>
  <c r="AB233" i="3" a="1"/>
  <c r="I163" i="3" a="1"/>
  <c r="F44" i="3" a="1"/>
  <c r="Y88" i="3" a="1"/>
  <c r="J2" i="3" a="1"/>
  <c r="B249" i="3" a="1"/>
  <c r="Q53" i="3" a="1"/>
  <c r="AC36" i="3" a="1"/>
  <c r="Z255" i="3" a="1"/>
  <c r="H168" i="3" a="1"/>
  <c r="E61" i="3" a="1"/>
  <c r="H245" i="3" a="1"/>
  <c r="H19" i="3" a="1"/>
  <c r="AA64" i="3" a="1"/>
  <c r="A126" i="3" a="1"/>
  <c r="C241" i="3" a="1"/>
  <c r="V14" i="3" a="1"/>
  <c r="M22" i="3" a="1"/>
  <c r="Q24" i="3" a="1"/>
  <c r="N121" i="3" a="1"/>
  <c r="E236" i="3" a="1"/>
  <c r="U239" i="3" a="1"/>
  <c r="AC96" i="3" a="1"/>
  <c r="T142" i="3" a="1"/>
  <c r="T134" i="3" a="1"/>
  <c r="N7" i="3" a="1"/>
  <c r="V141" i="3" a="1"/>
  <c r="J85" i="3" a="1"/>
  <c r="C195" i="3" a="1"/>
  <c r="H38" i="3" a="1"/>
  <c r="G165" i="3" a="1"/>
  <c r="X153" i="3" a="1"/>
  <c r="S205" i="3" a="1"/>
  <c r="Y32" i="3" a="1"/>
  <c r="C164" i="3" a="1"/>
  <c r="L163" i="3" a="1"/>
  <c r="P70" i="3" a="1"/>
  <c r="L76" i="3" a="1"/>
  <c r="AC99" i="3" a="1"/>
  <c r="K44" i="3" a="1"/>
  <c r="I221" i="3" a="1"/>
  <c r="S193" i="3" a="1"/>
  <c r="Z21" i="3" a="1"/>
  <c r="AB145" i="3" a="1"/>
  <c r="G2" i="3" a="1"/>
  <c r="O144" i="3" a="1"/>
  <c r="AD175" i="3" a="1"/>
  <c r="O30" i="3" a="1"/>
  <c r="C15" i="3" a="1"/>
  <c r="J134" i="3" a="1"/>
  <c r="P49" i="3" a="1"/>
  <c r="C178" i="3" a="1"/>
  <c r="T135" i="3" a="1"/>
  <c r="R159" i="3" a="1"/>
  <c r="I104" i="3" a="1"/>
  <c r="R193" i="3" a="1"/>
  <c r="E126" i="3" a="1"/>
  <c r="R92" i="3" a="1"/>
  <c r="F193" i="3" a="1"/>
  <c r="V162" i="3" a="1"/>
  <c r="C232" i="3" a="1"/>
  <c r="H210" i="3" a="1"/>
  <c r="V245" i="3" a="1"/>
  <c r="S3" i="3" a="1"/>
  <c r="AC6" i="3" a="1"/>
  <c r="C73" i="3" a="1"/>
  <c r="S185" i="3" a="1"/>
  <c r="L141" i="3" a="1"/>
  <c r="M192" i="3" a="1"/>
  <c r="L209" i="3" a="1"/>
  <c r="G63" i="3" a="1"/>
  <c r="E181" i="3" a="1"/>
  <c r="X22" i="3" a="1"/>
  <c r="D252" i="3" a="1"/>
  <c r="N193" i="3" a="1"/>
  <c r="S99" i="3" a="1"/>
  <c r="Q181" i="3" a="1"/>
  <c r="D199" i="3" a="1"/>
  <c r="M16" i="3" a="1"/>
  <c r="J189" i="3" a="1"/>
  <c r="P177" i="3" a="1"/>
  <c r="L116" i="3" a="1"/>
  <c r="D190" i="3" a="1"/>
  <c r="X130" i="3" a="1"/>
  <c r="A168" i="3" a="1"/>
  <c r="AB234" i="3" a="1"/>
  <c r="N152" i="3" a="1"/>
  <c r="R111" i="3" a="1"/>
  <c r="H71" i="3" a="1"/>
  <c r="M89" i="3" a="1"/>
  <c r="F95" i="3" a="1"/>
  <c r="N27" i="3" a="1"/>
  <c r="AA192" i="3" a="1"/>
  <c r="S98" i="3" a="1"/>
  <c r="AC207" i="3" a="1"/>
  <c r="Q73" i="3" a="1"/>
  <c r="E208" i="3" a="1"/>
  <c r="Y217" i="3" a="1"/>
  <c r="AB75" i="3" a="1"/>
  <c r="S133" i="3" a="1"/>
  <c r="J71" i="3" a="1"/>
  <c r="O60" i="3" a="1"/>
  <c r="AD189" i="3" a="1"/>
  <c r="AA172" i="3" a="1"/>
  <c r="B102" i="3" a="1"/>
  <c r="O220" i="3" a="1"/>
  <c r="R167" i="3" a="1"/>
  <c r="S80" i="3" a="1"/>
  <c r="E78" i="3" a="1"/>
  <c r="K222" i="3" a="1"/>
  <c r="F134" i="3" a="1"/>
  <c r="X71" i="3" a="1"/>
  <c r="O223" i="3" a="1"/>
  <c r="Q255" i="3" a="1"/>
  <c r="V159" i="3" a="1"/>
  <c r="V89" i="3" a="1"/>
  <c r="Y21" i="3" a="1"/>
  <c r="AD225" i="3" a="1"/>
  <c r="U132" i="3" a="1"/>
  <c r="P102" i="3" a="1"/>
  <c r="D154" i="3" a="1"/>
  <c r="E68" i="3" a="1"/>
  <c r="K99" i="3" a="1"/>
  <c r="G185" i="3" a="1"/>
  <c r="L166" i="3" a="1"/>
  <c r="B23" i="3" a="1"/>
  <c r="M178" i="3" a="1"/>
  <c r="AC198" i="3" a="1"/>
  <c r="R170" i="3" a="1"/>
  <c r="X114" i="3" a="1"/>
  <c r="M76" i="3" a="1"/>
  <c r="P69" i="3" a="1"/>
  <c r="C205" i="3" a="1"/>
  <c r="R161" i="3" a="1"/>
  <c r="S35" i="3" a="1"/>
  <c r="U203" i="3" a="1"/>
  <c r="Z231" i="3" a="1"/>
  <c r="AD32" i="3" a="1"/>
  <c r="H47" i="3" a="1"/>
  <c r="AA16" i="3" a="1"/>
  <c r="Q91" i="3" a="1"/>
  <c r="AB37" i="3" a="1"/>
  <c r="AC246" i="3" a="1"/>
  <c r="B120" i="3" a="1"/>
  <c r="E214" i="3" a="1"/>
  <c r="D109" i="3" a="1"/>
  <c r="M134" i="3" a="1"/>
  <c r="A244" i="3" a="1"/>
  <c r="F43" i="3" a="1"/>
  <c r="S123" i="3" a="1"/>
  <c r="I240" i="3" a="1"/>
  <c r="V59" i="3" a="1"/>
  <c r="J34" i="3" a="1"/>
  <c r="N227" i="3" a="1"/>
  <c r="N190" i="3" a="1"/>
  <c r="D33" i="3" a="1"/>
  <c r="P79" i="3" a="1"/>
  <c r="G73" i="3" a="1"/>
  <c r="P246" i="3" a="1"/>
  <c r="M27" i="3" a="1"/>
  <c r="S69" i="3" a="1"/>
  <c r="X86" i="3" a="1"/>
  <c r="K240" i="3" a="1"/>
  <c r="Q215" i="3" a="1"/>
  <c r="P151" i="3" a="1"/>
  <c r="E192" i="3" a="1"/>
  <c r="X30" i="3" a="1"/>
  <c r="C214" i="3" a="1"/>
  <c r="H145" i="3" a="1"/>
  <c r="O210" i="3" a="1"/>
  <c r="K151" i="3" a="1"/>
  <c r="B135" i="3" a="1"/>
  <c r="AA69" i="3" a="1"/>
  <c r="E173" i="3" a="1"/>
  <c r="X244" i="3" a="1"/>
  <c r="N168" i="3" a="1"/>
  <c r="E66" i="3" a="1"/>
  <c r="Q52" i="3" a="1"/>
  <c r="AA96" i="3" a="1"/>
  <c r="C43" i="3" a="1"/>
  <c r="E101" i="3" a="1"/>
  <c r="K110" i="3" a="1"/>
  <c r="E91" i="3" a="1"/>
  <c r="U83" i="3" a="1"/>
  <c r="K179" i="3" a="1"/>
  <c r="H212" i="3" a="1"/>
  <c r="K107" i="3" a="1"/>
  <c r="H163" i="3" a="1"/>
  <c r="H60" i="3" a="1"/>
  <c r="L200" i="3" a="1"/>
  <c r="N109" i="3" a="1"/>
  <c r="Y225" i="3" a="1"/>
  <c r="AC227" i="3" a="1"/>
  <c r="Z233" i="3" a="1"/>
  <c r="O222" i="3" a="1"/>
  <c r="G87" i="3" a="1"/>
  <c r="V212" i="3" a="1"/>
  <c r="M98" i="3" a="1"/>
  <c r="O200" i="3" a="1"/>
  <c r="P123" i="3" a="1"/>
  <c r="AD40" i="3" a="1"/>
  <c r="R103" i="3" a="1"/>
  <c r="S113" i="3" a="1"/>
  <c r="J43" i="3" a="1"/>
  <c r="M100" i="3" a="1"/>
  <c r="I173" i="3" a="1"/>
  <c r="J209" i="3" a="1"/>
  <c r="Z103" i="3" a="1"/>
  <c r="D253" i="3" a="1"/>
  <c r="D101" i="3" a="1"/>
  <c r="M13" i="3" a="1"/>
  <c r="Q221" i="3" a="1"/>
  <c r="F67" i="3" a="1"/>
  <c r="W181" i="3" a="1"/>
  <c r="AB47" i="3" a="1"/>
  <c r="L140" i="3" a="1"/>
  <c r="J199" i="3" a="1"/>
  <c r="J50" i="3" a="1"/>
  <c r="L134" i="3" a="1"/>
  <c r="E190" i="3" a="1"/>
  <c r="L105" i="3" a="1"/>
  <c r="AD212" i="3" a="1"/>
  <c r="O239" i="3" a="1"/>
  <c r="A175" i="3" a="1"/>
  <c r="G23" i="3" a="1"/>
  <c r="AC112" i="3" a="1"/>
  <c r="Y3" i="3" a="1"/>
  <c r="W187" i="3" a="1"/>
  <c r="N202" i="3" a="1"/>
  <c r="U204" i="3" a="1"/>
  <c r="T236" i="3" a="1"/>
  <c r="E245" i="3" a="1"/>
  <c r="I155" i="3" a="1"/>
  <c r="U200" i="3" a="1"/>
  <c r="E129" i="3" a="1"/>
  <c r="R77" i="3" a="1"/>
  <c r="O125" i="3" a="1"/>
  <c r="D244" i="3" a="1"/>
  <c r="B84" i="3" a="1"/>
  <c r="E218" i="3" a="1"/>
  <c r="L82" i="3" a="1"/>
  <c r="H104" i="3" a="1"/>
  <c r="O121" i="3" a="1"/>
  <c r="U140" i="3" a="1"/>
  <c r="F113" i="3" a="1"/>
  <c r="U207" i="3" a="1"/>
  <c r="C86" i="3" a="1"/>
  <c r="Z206" i="3" a="1"/>
  <c r="N161" i="3" a="1"/>
  <c r="M157" i="3" a="1"/>
  <c r="Y188" i="3" a="1"/>
  <c r="F54" i="3" a="1"/>
  <c r="AD70" i="3" a="1"/>
  <c r="C247" i="3" a="1"/>
  <c r="X199" i="3" a="1"/>
  <c r="T240" i="3" a="1"/>
  <c r="Y180" i="3" a="1"/>
  <c r="F249" i="3" a="1"/>
  <c r="N130" i="3" a="1"/>
  <c r="I39" i="3" a="1"/>
  <c r="AC157" i="3" a="1"/>
  <c r="N240" i="3" a="1"/>
  <c r="C8" i="3" a="1"/>
  <c r="R244" i="3" a="1"/>
  <c r="F255" i="3" a="1"/>
  <c r="J147" i="3" a="1"/>
  <c r="I177" i="3" a="1"/>
  <c r="R70" i="3" a="1"/>
  <c r="O207" i="3" a="1"/>
  <c r="Y168" i="3" a="1"/>
  <c r="P13" i="3" a="1"/>
  <c r="AB11" i="3" a="1"/>
  <c r="E219" i="3" a="1"/>
  <c r="G88" i="3" a="1"/>
  <c r="AC2" i="3" a="1"/>
  <c r="V7" i="3" a="1"/>
  <c r="H18" i="3" a="1"/>
  <c r="X50" i="3" a="1"/>
  <c r="T151" i="3" a="1"/>
  <c r="Q120" i="3" a="1"/>
  <c r="J217" i="3" a="1"/>
  <c r="D146" i="3" a="1"/>
  <c r="L242" i="3" a="1"/>
  <c r="I61" i="3" a="1"/>
  <c r="AA74" i="3" a="1"/>
  <c r="H253" i="3" a="1"/>
  <c r="G207" i="3" a="1"/>
  <c r="H84" i="3" a="1"/>
  <c r="P24" i="3" a="1"/>
  <c r="C37" i="3" a="1"/>
  <c r="S83" i="3" a="1"/>
  <c r="C120" i="3" a="1"/>
  <c r="V13" i="3" a="1"/>
  <c r="AA185" i="3" a="1"/>
  <c r="I153" i="3" a="1"/>
  <c r="U150" i="3" a="1"/>
  <c r="J182" i="3" a="1"/>
  <c r="C160" i="3" a="1"/>
  <c r="B61" i="3" a="1"/>
  <c r="V243" i="3" a="1"/>
  <c r="X36" i="3" a="1"/>
  <c r="Y138" i="3" a="1"/>
  <c r="Y28" i="3" a="1"/>
  <c r="G11" i="3" a="1"/>
  <c r="N116" i="3" a="1"/>
  <c r="L255" i="3" a="1"/>
  <c r="O61" i="3" a="1"/>
  <c r="N154" i="3" a="1"/>
  <c r="V112" i="3" a="1"/>
  <c r="S195" i="3" a="1"/>
  <c r="F142" i="3" a="1"/>
  <c r="AB214" i="3" a="1"/>
  <c r="X45" i="3" a="1"/>
  <c r="Z46" i="3" a="1"/>
  <c r="V183" i="3" a="1"/>
  <c r="K189" i="3" a="1"/>
  <c r="H46" i="3" a="1"/>
  <c r="AC161" i="3" a="1"/>
  <c r="Q222" i="3" a="1"/>
  <c r="C192" i="3" a="1"/>
  <c r="B230" i="3" a="1"/>
  <c r="L19" i="3" a="1"/>
  <c r="AC91" i="3" a="1"/>
  <c r="O228" i="3" a="1"/>
  <c r="AD120" i="3" a="1"/>
  <c r="D123" i="3" a="1"/>
  <c r="AB54" i="3" a="1"/>
  <c r="X20" i="3" a="1"/>
  <c r="Q197" i="3" a="1"/>
  <c r="F212" i="3" a="1"/>
  <c r="AC116" i="3" a="1"/>
  <c r="V4" i="3" a="1"/>
  <c r="Y121" i="3" a="1"/>
  <c r="T213" i="3" a="1"/>
  <c r="F73" i="3" a="1"/>
  <c r="AB186" i="3" a="1"/>
  <c r="Q16" i="3" a="1"/>
  <c r="E222" i="3" a="1"/>
  <c r="F253" i="3" a="1"/>
  <c r="P178" i="3" a="1"/>
  <c r="Q175" i="3" a="1"/>
  <c r="L196" i="3" a="1"/>
  <c r="B77" i="3" a="1"/>
  <c r="X150" i="3" a="1"/>
  <c r="H58" i="3" a="1"/>
  <c r="V65" i="3" a="1"/>
  <c r="L31" i="3" a="1"/>
  <c r="P28" i="3" a="1"/>
  <c r="Y193" i="3" a="1"/>
  <c r="F108" i="3" a="1"/>
  <c r="X31" i="3" a="1"/>
  <c r="U190" i="3" a="1"/>
  <c r="V125" i="3" a="1"/>
  <c r="X225" i="3" a="1"/>
  <c r="D178" i="3" a="1"/>
  <c r="Q31" i="3" a="1"/>
  <c r="G160" i="3" a="1"/>
  <c r="J188" i="3" a="1"/>
  <c r="B79" i="3" a="1"/>
  <c r="Z200" i="3" a="1"/>
  <c r="U23" i="3" a="1"/>
  <c r="Q75" i="3" a="1"/>
  <c r="X201" i="3" a="1"/>
  <c r="A94" i="3" a="1"/>
  <c r="O102" i="3" a="1"/>
  <c r="V231" i="3" a="1"/>
  <c r="H99" i="3" a="1"/>
  <c r="D100" i="3" a="1"/>
  <c r="J156" i="3" a="1"/>
  <c r="H97" i="3" a="1"/>
  <c r="F229" i="3" a="1"/>
  <c r="G217" i="3" a="1"/>
  <c r="AA102" i="3" a="1"/>
  <c r="T6" i="3" a="1"/>
  <c r="C134" i="3" a="1"/>
  <c r="U174" i="3" a="1"/>
  <c r="AB246" i="3" a="1"/>
  <c r="Q70" i="3" a="1"/>
  <c r="Z9" i="3" a="1"/>
  <c r="N157" i="3" a="1"/>
  <c r="AD164" i="3" a="1"/>
  <c r="AB176" i="3" a="1"/>
  <c r="AB167" i="3" a="1"/>
  <c r="G19" i="3" a="1"/>
  <c r="L101" i="3" a="1"/>
  <c r="R217" i="3" a="1"/>
  <c r="AC253" i="3" a="1"/>
  <c r="B49" i="3" a="1"/>
  <c r="G231" i="3" a="1"/>
  <c r="F16" i="3" a="1"/>
  <c r="T98" i="3" a="1"/>
  <c r="F215" i="3" a="1"/>
  <c r="D37" i="3" a="1"/>
  <c r="I49" i="3" a="1"/>
  <c r="W101" i="3" a="1"/>
  <c r="N127" i="3" a="1"/>
  <c r="N58" i="3" a="1"/>
  <c r="S218" i="3" a="1"/>
  <c r="K166" i="3" a="1"/>
  <c r="R186" i="3" a="1"/>
  <c r="O48" i="3" a="1"/>
  <c r="V31" i="3" a="1"/>
  <c r="M114" i="3" a="1"/>
  <c r="B99" i="3" a="1"/>
  <c r="E239" i="3" a="1"/>
  <c r="A69" i="3" a="1"/>
  <c r="J109" i="3" a="1"/>
  <c r="A143" i="3" a="1"/>
  <c r="T117" i="3" a="1"/>
  <c r="N57" i="3" a="1"/>
  <c r="AD134" i="3" a="1"/>
  <c r="I82" i="3" a="1"/>
  <c r="I96" i="3" a="1"/>
  <c r="A105" i="3" a="1"/>
  <c r="A223" i="3" a="1"/>
  <c r="C227" i="3" a="1"/>
  <c r="V91" i="3" a="1"/>
  <c r="I74" i="3" a="1"/>
  <c r="C108" i="3" a="1"/>
  <c r="S34" i="3" a="1"/>
  <c r="AB193" i="3" a="1"/>
  <c r="M3" i="3" a="1"/>
  <c r="AB142" i="3" a="1"/>
  <c r="F125" i="3" a="1"/>
  <c r="S50" i="3" a="1"/>
  <c r="P64" i="3" a="1"/>
  <c r="W223" i="3" a="1"/>
  <c r="AA84" i="3" a="1"/>
  <c r="L113" i="3" a="1"/>
  <c r="U24" i="3" a="1"/>
  <c r="I236" i="3" a="1"/>
  <c r="F204" i="3" a="1"/>
  <c r="M117" i="3" a="1"/>
  <c r="G142" i="3" a="1"/>
  <c r="I115" i="3" a="1"/>
  <c r="L152" i="3" a="1"/>
  <c r="R219" i="3" a="1"/>
  <c r="I32" i="3" a="1"/>
  <c r="O140" i="3" a="1"/>
  <c r="C119" i="3" a="1"/>
  <c r="E94" i="3" a="1"/>
  <c r="I111" i="3" a="1"/>
  <c r="AD177" i="3" a="1"/>
  <c r="U107" i="3" a="1"/>
  <c r="K80" i="3" a="1"/>
  <c r="W134" i="3" a="1"/>
  <c r="Y172" i="3" a="1"/>
  <c r="AC80" i="3" a="1"/>
  <c r="AC191" i="3" a="1"/>
  <c r="A112" i="3" a="1"/>
  <c r="U201" i="3" a="1"/>
  <c r="W108" i="3" a="1"/>
  <c r="D46" i="3" a="1"/>
  <c r="Y194" i="3" a="1"/>
  <c r="AC104" i="3" a="1"/>
  <c r="T43" i="3" a="1"/>
  <c r="AD200" i="3" a="1"/>
  <c r="N148" i="3" a="1"/>
  <c r="X88" i="3" a="1"/>
  <c r="K81" i="3" a="1"/>
  <c r="B143" i="3" a="1"/>
  <c r="Z165" i="3" a="1"/>
  <c r="X14" i="3" a="1"/>
  <c r="L111" i="3" a="1"/>
  <c r="R34" i="3" a="1"/>
  <c r="G213" i="3" a="1"/>
  <c r="G105" i="3" a="1"/>
  <c r="P57" i="3" a="1"/>
  <c r="G40" i="3" a="1"/>
  <c r="AA164" i="3" a="1"/>
  <c r="AA41" i="3" a="1"/>
  <c r="P202" i="3" a="1"/>
  <c r="C59" i="3" a="1"/>
  <c r="P48" i="3" a="1"/>
  <c r="AC35" i="3" a="1"/>
  <c r="H167" i="3" a="1"/>
  <c r="AA129" i="3" a="1"/>
  <c r="C4" i="3" a="1"/>
  <c r="F225" i="3" a="1"/>
  <c r="H160" i="3" a="1"/>
  <c r="AA178" i="3" a="1"/>
  <c r="J46" i="3" a="1"/>
  <c r="R164" i="3" a="1"/>
  <c r="J230" i="3" a="1"/>
  <c r="D162" i="3" a="1"/>
  <c r="P154" i="3" a="1"/>
  <c r="Z34" i="3" a="1"/>
  <c r="X87" i="3" a="1"/>
  <c r="AB83" i="3" a="1"/>
  <c r="T49" i="3" a="1"/>
  <c r="O89" i="3" a="1"/>
  <c r="S213" i="3" a="1"/>
  <c r="Q40" i="3" a="1"/>
  <c r="L81" i="3" a="1"/>
  <c r="AC14" i="3" a="1"/>
  <c r="A174" i="3" a="1"/>
  <c r="T26" i="3" a="1"/>
  <c r="N239" i="3" a="1"/>
  <c r="C155" i="3" a="1"/>
  <c r="A180" i="3" a="1"/>
  <c r="AA241" i="3" a="1"/>
  <c r="P241" i="3" a="1"/>
  <c r="F182" i="3" a="1"/>
  <c r="F90" i="3" a="1"/>
  <c r="Q94" i="3" a="1"/>
  <c r="AA231" i="3" a="1"/>
  <c r="AB74" i="3" a="1"/>
  <c r="R14" i="3" a="1"/>
  <c r="AB143" i="3" a="1"/>
  <c r="K47" i="3" a="1"/>
  <c r="V197" i="3" a="1"/>
  <c r="X146" i="3" a="1"/>
  <c r="W116" i="3" a="1"/>
  <c r="G237" i="3" a="1"/>
  <c r="AB20" i="3" a="1"/>
  <c r="Y29" i="3" a="1"/>
  <c r="F101" i="3" a="1"/>
  <c r="AB114" i="3" a="1"/>
  <c r="Q89" i="3" a="1"/>
  <c r="AB38" i="3" a="1"/>
  <c r="W127" i="3" a="1"/>
  <c r="D153" i="3" a="1"/>
  <c r="AD96" i="3" a="1"/>
  <c r="T75" i="3" a="1"/>
  <c r="U36" i="3" a="1"/>
  <c r="S178" i="3" a="1"/>
  <c r="P86" i="3" a="1"/>
  <c r="U12" i="3" a="1"/>
  <c r="I152" i="3" a="1"/>
  <c r="U37" i="3" a="1"/>
  <c r="O27" i="3" a="1"/>
  <c r="A108" i="3" a="1"/>
  <c r="T84" i="3" a="1"/>
  <c r="U38" i="3" a="1"/>
  <c r="C3" i="3" a="1"/>
  <c r="L58" i="3" a="1"/>
  <c r="Y231" i="3" a="1"/>
  <c r="M26" i="3" a="1"/>
  <c r="D58" i="3" a="1"/>
  <c r="AB136" i="3" a="1"/>
  <c r="A222" i="3" a="1"/>
  <c r="H109" i="3" a="1"/>
  <c r="M199" i="3" a="1"/>
  <c r="AA18" i="3" a="1"/>
  <c r="M240" i="3" a="1"/>
  <c r="Z179" i="3" a="1"/>
  <c r="L86" i="3" a="1"/>
  <c r="D28" i="3" a="1"/>
  <c r="L45" i="3" a="1"/>
  <c r="C93" i="3" a="1"/>
  <c r="AD23" i="3" a="1"/>
  <c r="S13" i="3" a="1"/>
  <c r="T78" i="3" a="1"/>
  <c r="S68" i="3" a="1"/>
  <c r="AD173" i="3" a="1"/>
  <c r="V8" i="3" a="1"/>
  <c r="X49" i="3" a="1"/>
  <c r="J55" i="3" a="1"/>
  <c r="F147" i="3" a="1"/>
  <c r="W52" i="3" a="1"/>
  <c r="L18" i="3" a="1"/>
  <c r="K42" i="3" a="1"/>
  <c r="D169" i="3" a="1"/>
  <c r="W13" i="3" a="1"/>
  <c r="S21" i="3" a="1"/>
  <c r="AA13" i="3" a="1"/>
  <c r="AB217" i="3" a="1"/>
  <c r="D39" i="3" a="1"/>
  <c r="P199" i="3" a="1"/>
  <c r="P175" i="3" a="1"/>
  <c r="I200" i="3" a="1"/>
  <c r="Z191" i="3" a="1"/>
  <c r="AC75" i="3" a="1"/>
  <c r="AA89" i="3" a="1"/>
  <c r="N215" i="3" a="1"/>
  <c r="S182" i="3" a="1"/>
  <c r="M31" i="3" a="1"/>
  <c r="AA136" i="3" a="1"/>
  <c r="A225" i="3" a="1"/>
  <c r="G138" i="3" a="1"/>
  <c r="V22" i="3" a="1"/>
  <c r="P140" i="3" a="1"/>
  <c r="E209" i="3" a="1"/>
  <c r="R95" i="3" a="1"/>
  <c r="Z70" i="3" a="1"/>
  <c r="A62" i="3" a="1"/>
  <c r="S167" i="3" a="1"/>
  <c r="AA183" i="3" a="1"/>
  <c r="D126" i="3" a="1"/>
  <c r="V72" i="3" a="1"/>
  <c r="Y17" i="3" a="1"/>
  <c r="A46" i="3" a="1"/>
  <c r="C52" i="3" a="1"/>
  <c r="R201" i="3" a="1"/>
  <c r="N10" i="3" a="1"/>
  <c r="N222" i="3" a="1"/>
  <c r="D87" i="3" a="1"/>
  <c r="T93" i="3" a="1"/>
  <c r="C91" i="3" a="1"/>
  <c r="AC150" i="3" a="1"/>
  <c r="Z42" i="3" a="1"/>
  <c r="I30" i="3" a="1"/>
  <c r="M12" i="3" a="1"/>
  <c r="AA114" i="3" a="1"/>
  <c r="U213" i="3" a="1"/>
  <c r="T171" i="3" a="1"/>
  <c r="K17" i="3" a="1"/>
  <c r="X136" i="3" a="1"/>
  <c r="K65" i="3" a="1"/>
  <c r="X84" i="3" a="1"/>
  <c r="D200" i="3" a="1"/>
  <c r="E33" i="3" a="1"/>
  <c r="J179" i="3" a="1"/>
  <c r="A192" i="3" a="1"/>
  <c r="W200" i="3" a="1"/>
  <c r="P76" i="3" a="1"/>
  <c r="AB146" i="3" a="1"/>
  <c r="E89" i="3" a="1"/>
  <c r="A230" i="3" a="1"/>
  <c r="V118" i="3" a="1"/>
  <c r="C231" i="3" a="1"/>
  <c r="AD119" i="3" a="1"/>
  <c r="W147" i="3" a="1"/>
  <c r="Y20" i="3" a="1"/>
  <c r="Z131" i="3" a="1"/>
  <c r="Z108" i="3" a="1"/>
  <c r="S107" i="3" a="1"/>
  <c r="AB185" i="3" a="1"/>
  <c r="W25" i="3" a="1"/>
  <c r="Z47" i="3" a="1"/>
  <c r="C154" i="3" a="1"/>
  <c r="E60" i="3" a="1"/>
  <c r="AC127" i="3" a="1"/>
  <c r="F246" i="3" a="1"/>
  <c r="Y70" i="3" a="1"/>
  <c r="AB122" i="3" a="1"/>
  <c r="P109" i="3" a="1"/>
  <c r="U35" i="3" a="1"/>
  <c r="AD38" i="3" a="1"/>
  <c r="AC13" i="3" a="1"/>
  <c r="B40" i="3" a="1"/>
  <c r="AB117" i="3" a="1"/>
  <c r="E151" i="3" a="1"/>
  <c r="Z132" i="3" a="1"/>
  <c r="Q79" i="3" a="1"/>
  <c r="AB140" i="3" a="1"/>
  <c r="AB69" i="3" a="1"/>
  <c r="P224" i="3" a="1"/>
  <c r="AC32" i="3" a="1"/>
  <c r="B213" i="3" a="1"/>
  <c r="U29" i="3" a="1"/>
  <c r="D242" i="3" a="1"/>
  <c r="W117" i="3" a="1"/>
  <c r="E139" i="3" a="1"/>
  <c r="D221" i="3" a="1"/>
  <c r="AB100" i="3" a="1"/>
  <c r="B254" i="3" a="1"/>
  <c r="O88" i="3" a="1"/>
  <c r="N74" i="3" a="1"/>
  <c r="AB8" i="3" a="1"/>
  <c r="J194" i="3" a="1"/>
  <c r="R152" i="3" a="1"/>
  <c r="G144" i="3" a="1"/>
  <c r="X228" i="3" a="1"/>
  <c r="F115" i="3" a="1"/>
  <c r="N89" i="3" a="1"/>
  <c r="I145" i="3" a="1"/>
  <c r="J79" i="3" a="1"/>
  <c r="AA93" i="3" a="1"/>
  <c r="Y110" i="3" a="1"/>
  <c r="R239" i="3" a="1"/>
  <c r="Y220" i="3" a="1"/>
  <c r="U94" i="3" a="1"/>
  <c r="V69" i="3" a="1"/>
  <c r="O57" i="3" a="1"/>
  <c r="C40" i="3" a="1"/>
  <c r="AC244" i="3" a="1"/>
  <c r="F87" i="3" a="1"/>
  <c r="T183" i="3" a="1"/>
  <c r="Z32" i="3" a="1"/>
  <c r="Q42" i="3" a="1"/>
  <c r="V6" i="3" a="1"/>
  <c r="AA5" i="3" a="1"/>
  <c r="J92" i="3" a="1"/>
  <c r="Y253" i="3" a="1"/>
  <c r="AC178" i="3" a="1"/>
  <c r="R226" i="3" a="1"/>
  <c r="AD123" i="3" a="1"/>
  <c r="A212" i="3" a="1"/>
  <c r="V67" i="3" a="1"/>
  <c r="Z75" i="3" a="1"/>
  <c r="S81" i="3" a="1"/>
  <c r="K40" i="3" a="1"/>
  <c r="M86" i="3" a="1"/>
  <c r="E103" i="3" a="1"/>
  <c r="J126" i="3" a="1"/>
  <c r="B184" i="3" a="1"/>
  <c r="C250" i="3" a="1"/>
  <c r="G75" i="3" a="1"/>
  <c r="L98" i="3" a="1"/>
  <c r="S158" i="3" a="1"/>
  <c r="Q85" i="3" a="1"/>
  <c r="R115" i="3" a="1"/>
  <c r="J238" i="3" a="1"/>
  <c r="M201" i="3" a="1"/>
  <c r="J142" i="3" a="1"/>
  <c r="F59" i="3" a="1"/>
  <c r="W199" i="3" a="1"/>
  <c r="C199" i="3" a="1"/>
  <c r="W53" i="3" a="1"/>
  <c r="P38" i="3" a="1"/>
  <c r="F35" i="3" a="1"/>
  <c r="E18" i="3" a="1"/>
  <c r="U127" i="3" a="1"/>
  <c r="V38" i="3" a="1"/>
  <c r="F40" i="3" a="1"/>
  <c r="AC115" i="3" a="1"/>
  <c r="AA186" i="3" a="1"/>
  <c r="V20" i="3" a="1"/>
  <c r="C122" i="3" a="1"/>
  <c r="E74" i="3" a="1"/>
  <c r="L83" i="3" a="1"/>
  <c r="S132" i="3" a="1"/>
  <c r="X172" i="3" a="1"/>
  <c r="AC172" i="3" a="1"/>
  <c r="Y178" i="3" a="1"/>
  <c r="H129" i="3" a="1"/>
  <c r="Z94" i="3" a="1"/>
  <c r="B136" i="3" a="1"/>
  <c r="AA215" i="3" a="1"/>
  <c r="Q62" i="3" a="1"/>
  <c r="Y24" i="3" a="1"/>
  <c r="O242" i="3" a="1"/>
  <c r="Q241" i="3" a="1"/>
  <c r="Z157" i="3" a="1"/>
  <c r="AC10" i="3" a="1"/>
  <c r="B167" i="3" a="1"/>
  <c r="E171" i="3" a="1"/>
  <c r="B31" i="3" a="1"/>
  <c r="T95" i="3" a="1"/>
  <c r="AD95" i="3" a="1"/>
  <c r="Y98" i="3" a="1"/>
  <c r="N32" i="3" a="1"/>
  <c r="AC187" i="3" a="1"/>
  <c r="A125" i="3" a="1"/>
  <c r="AC70" i="3" a="1"/>
  <c r="AB43" i="3" a="1"/>
  <c r="J104" i="3" a="1"/>
  <c r="U165" i="3" a="1"/>
  <c r="B76" i="3" a="1"/>
  <c r="V240" i="3" a="1"/>
  <c r="A5" i="3" a="1"/>
  <c r="S250" i="3" a="1"/>
  <c r="O73" i="3" a="1"/>
  <c r="I254" i="3" a="1"/>
  <c r="J3" i="3" a="1"/>
  <c r="P30" i="3" a="1"/>
  <c r="B118" i="3" a="1"/>
  <c r="Y123" i="3" a="1"/>
  <c r="AA216" i="3" a="1"/>
  <c r="W189" i="3" a="1"/>
  <c r="I28" i="3" a="1"/>
  <c r="L122" i="3" a="1"/>
  <c r="G97" i="3" a="1"/>
  <c r="P68" i="3" a="1"/>
  <c r="P99" i="3" a="1"/>
  <c r="N170" i="3" a="1"/>
  <c r="A236" i="3" a="1"/>
  <c r="W11" i="3" a="1"/>
  <c r="A146" i="3" a="1"/>
  <c r="J54" i="3" a="1"/>
  <c r="I77" i="3" a="1"/>
  <c r="G95" i="3" a="1"/>
  <c r="I97" i="3" a="1"/>
  <c r="AC195" i="3" a="1"/>
  <c r="I198" i="3" a="1"/>
  <c r="I217" i="3" a="1"/>
  <c r="A2" i="3" a="1"/>
  <c r="X78" i="3" a="1"/>
  <c r="G15" i="3" a="1"/>
  <c r="AD203" i="3" a="1"/>
  <c r="N79" i="3" a="1"/>
  <c r="W84" i="3" a="1"/>
  <c r="AC44" i="3" a="1"/>
  <c r="U218" i="3" a="1"/>
  <c r="W172" i="3" a="1"/>
  <c r="U225" i="3" a="1"/>
  <c r="E221" i="3" a="1"/>
  <c r="T242" i="3" a="1"/>
  <c r="M102" i="3" a="1"/>
  <c r="H87" i="3" a="1"/>
  <c r="L115" i="3" a="1"/>
  <c r="G170" i="3" a="1"/>
  <c r="K12" i="3" a="1"/>
  <c r="V236" i="3" a="1"/>
  <c r="L225" i="3" a="1"/>
  <c r="M144" i="3" a="1"/>
  <c r="E198" i="3" a="1"/>
  <c r="K170" i="3" a="1"/>
  <c r="H205" i="3" a="1"/>
  <c r="L52" i="3" a="1"/>
  <c r="S139" i="3" a="1"/>
  <c r="F251" i="3" a="1"/>
  <c r="I116" i="3" a="1"/>
  <c r="AC201" i="3" a="1"/>
  <c r="Y187" i="3" a="1"/>
  <c r="K2" i="3" a="1"/>
  <c r="C228" i="3" a="1"/>
  <c r="V87" i="3" a="1"/>
  <c r="J22" i="3" a="1"/>
  <c r="P110" i="3" a="1"/>
  <c r="M234" i="3" a="1"/>
  <c r="Z14" i="3" a="1"/>
  <c r="A124" i="3" a="1"/>
  <c r="R16" i="3" a="1"/>
  <c r="D129" i="3" a="1"/>
  <c r="R10" i="3" a="1"/>
  <c r="N198" i="3" a="1"/>
  <c r="AC7" i="3" a="1"/>
  <c r="U57" i="3" a="1"/>
  <c r="D19" i="3" a="1"/>
  <c r="M106" i="3" a="1"/>
  <c r="I27" i="3" a="1"/>
  <c r="H142" i="3" a="1"/>
  <c r="S90" i="3" a="1"/>
  <c r="J14" i="3" a="1"/>
  <c r="Q74" i="3" a="1"/>
  <c r="R162" i="3" a="1"/>
  <c r="F164" i="3" a="1"/>
  <c r="T114" i="3" a="1"/>
  <c r="A58" i="3" a="1"/>
  <c r="C128" i="3" a="1"/>
  <c r="U120" i="3" a="1"/>
  <c r="R99" i="3" a="1"/>
  <c r="J72" i="3" a="1"/>
  <c r="D216" i="3" a="1"/>
  <c r="R157" i="3" a="1"/>
  <c r="M181" i="3" a="1"/>
  <c r="O122" i="3" a="1"/>
  <c r="C121" i="3" a="1"/>
  <c r="U19" i="3" a="1"/>
  <c r="O49" i="3" a="1"/>
  <c r="M17" i="3" a="1"/>
  <c r="X9" i="3" a="1"/>
  <c r="E77" i="3" a="1"/>
  <c r="R73" i="3" a="1"/>
  <c r="Q216" i="3" a="1"/>
  <c r="W72" i="3" a="1"/>
  <c r="N60" i="3" a="1"/>
  <c r="T27" i="3" a="1"/>
  <c r="R158" i="3" a="1"/>
  <c r="I124" i="3" a="1"/>
  <c r="U44" i="3" a="1"/>
  <c r="S156" i="3" a="1"/>
  <c r="W16" i="3" a="1"/>
  <c r="AA49" i="3" a="1"/>
  <c r="A66" i="3" a="1"/>
  <c r="B27" i="3" a="1"/>
  <c r="Q237" i="3" a="1"/>
  <c r="AA35" i="3" a="1"/>
  <c r="M73" i="3" a="1"/>
  <c r="Z172" i="3" a="1"/>
  <c r="G86" i="3" a="1"/>
  <c r="J100" i="3" a="1"/>
  <c r="Y230" i="3" a="1"/>
  <c r="S61" i="3" a="1"/>
  <c r="A85" i="3" a="1"/>
  <c r="M202" i="3" a="1"/>
  <c r="M79" i="3" a="1"/>
  <c r="D249" i="3" a="1"/>
  <c r="Y10" i="3" a="1"/>
  <c r="A24" i="3" a="1"/>
  <c r="X118" i="3" a="1"/>
  <c r="D254" i="3" a="1"/>
  <c r="A121" i="3" a="1"/>
  <c r="I132" i="3" a="1"/>
  <c r="D49" i="3" a="1"/>
  <c r="B166" i="3" a="1"/>
  <c r="U205" i="3" a="1"/>
  <c r="I71" i="3" a="1"/>
  <c r="AA165" i="3" a="1"/>
  <c r="N11" i="3" a="1"/>
  <c r="U32" i="3" a="1"/>
  <c r="T132" i="3" a="1"/>
  <c r="Q22" i="3" a="1"/>
  <c r="M37" i="3" a="1"/>
  <c r="R154" i="3" a="1"/>
  <c r="AA180" i="3" a="1"/>
  <c r="AA170" i="3" a="1"/>
  <c r="P236" i="3" a="1"/>
  <c r="U146" i="3" a="1"/>
  <c r="O116" i="3" a="1"/>
  <c r="O254" i="3" a="1"/>
  <c r="AD91" i="3" a="1"/>
  <c r="K141" i="3" a="1"/>
  <c r="S126" i="3" a="1"/>
  <c r="J89" i="3" a="1"/>
  <c r="O103" i="3" a="1"/>
  <c r="S31" i="3" a="1"/>
  <c r="AD60" i="3" a="1"/>
  <c r="S154" i="3" a="1"/>
  <c r="X138" i="3" a="1"/>
  <c r="X63" i="3" a="1"/>
  <c r="AD106" i="3" a="1"/>
  <c r="B164" i="3" a="1"/>
  <c r="L15" i="3" a="1"/>
  <c r="A59" i="3" a="1"/>
  <c r="A186" i="3" a="1"/>
  <c r="G122" i="3" a="1"/>
  <c r="O38" i="3" a="1"/>
  <c r="A38" i="3" a="1"/>
  <c r="O180" i="3" a="1"/>
  <c r="M30" i="3" a="1"/>
  <c r="P18" i="3" a="1"/>
  <c r="J129" i="3" a="1"/>
  <c r="D209" i="3" a="1"/>
  <c r="Z150" i="3" a="1"/>
  <c r="AD166" i="3" a="1"/>
  <c r="R141" i="3" a="1"/>
  <c r="Q220" i="3" a="1"/>
  <c r="U145" i="3" a="1"/>
  <c r="S25" i="3" a="1"/>
  <c r="K67" i="3" a="1"/>
  <c r="Q229" i="3" a="1"/>
  <c r="T211" i="3" a="1"/>
  <c r="X219" i="3" a="1"/>
  <c r="W130" i="3" a="1"/>
  <c r="G110" i="3" a="1"/>
  <c r="F242" i="3" a="1"/>
  <c r="A21" i="3" a="1"/>
  <c r="G18" i="3" a="1"/>
  <c r="W77" i="3" a="1"/>
  <c r="G121" i="3" a="1"/>
  <c r="S179" i="3" a="1"/>
  <c r="X26" i="3" a="1"/>
  <c r="U116" i="3" a="1"/>
  <c r="R221" i="3" a="1"/>
  <c r="Y171" i="3" a="1"/>
  <c r="U98" i="3" a="1"/>
  <c r="B69" i="3" a="1"/>
  <c r="K121" i="3" a="1"/>
  <c r="Q225" i="3" a="1"/>
  <c r="O93" i="3" a="1"/>
  <c r="S236" i="3" a="1"/>
  <c r="A31" i="3" a="1"/>
  <c r="AA145" i="3" a="1"/>
  <c r="AD66" i="3" a="1"/>
  <c r="V75" i="3" a="1"/>
  <c r="H113" i="3" a="1"/>
  <c r="V179" i="3" a="1"/>
  <c r="K7" i="3" a="1"/>
  <c r="AB119" i="3" a="1"/>
  <c r="E182" i="3" a="1"/>
  <c r="F209" i="3" a="1"/>
  <c r="A63" i="3" a="1"/>
  <c r="A74" i="3" a="1"/>
  <c r="C19" i="3" a="1"/>
  <c r="L180" i="3" a="1"/>
  <c r="O94" i="3" a="1"/>
  <c r="AB68" i="3" a="1"/>
  <c r="X28" i="3" a="1"/>
  <c r="E72" i="3" a="1"/>
  <c r="S17" i="3" a="1"/>
  <c r="AB65" i="3" a="1"/>
  <c r="AD88" i="3" a="1"/>
  <c r="V238" i="3" a="1"/>
  <c r="U9" i="3" a="1"/>
  <c r="D43" i="3" a="1"/>
  <c r="Y81" i="3" a="1"/>
  <c r="A127" i="3" a="1"/>
  <c r="Q234" i="3" a="1"/>
  <c r="N205" i="3" a="1"/>
  <c r="J246" i="3" a="1"/>
  <c r="N195" i="3" a="1"/>
  <c r="P160" i="3" a="1"/>
  <c r="N75" i="3" a="1"/>
  <c r="C130" i="3" a="1"/>
  <c r="T74" i="3" a="1"/>
  <c r="L68" i="3" a="1"/>
  <c r="T85" i="3" a="1"/>
  <c r="M233" i="3" a="1"/>
  <c r="K86" i="3" a="1"/>
  <c r="B128" i="3" a="1"/>
  <c r="M197" i="3" a="1"/>
  <c r="T250" i="3" a="1"/>
  <c r="AB99" i="3" a="1"/>
  <c r="H119" i="3" a="1"/>
  <c r="H12" i="3" a="1"/>
  <c r="C69" i="3" a="1"/>
  <c r="I112" i="3" a="1"/>
  <c r="Y63" i="3" a="1"/>
  <c r="I187" i="3" a="1"/>
  <c r="M6" i="3" a="1"/>
  <c r="A238" i="3" a="1"/>
  <c r="E54" i="3" a="1"/>
  <c r="AC29" i="3" a="1"/>
  <c r="A172" i="3" a="1"/>
  <c r="AD67" i="3" a="1"/>
  <c r="V124" i="3" a="1"/>
  <c r="K123" i="3" a="1"/>
  <c r="E26" i="3" a="1"/>
  <c r="C53" i="3" a="1"/>
  <c r="AA52" i="3" a="1"/>
  <c r="N189" i="3" a="1"/>
  <c r="D135" i="3" a="1"/>
  <c r="F154" i="3" a="1"/>
  <c r="A23" i="3" a="1"/>
  <c r="AC107" i="3" a="1"/>
  <c r="U244" i="3" a="1"/>
  <c r="V169" i="3" a="1"/>
  <c r="I228" i="3" a="1"/>
  <c r="J253" i="3" a="1"/>
  <c r="E55" i="3" a="1"/>
  <c r="P139" i="3" a="1"/>
  <c r="A182" i="3" a="1"/>
  <c r="I235" i="3" a="1"/>
  <c r="AD149" i="3" a="1"/>
  <c r="X254" i="3" a="1"/>
  <c r="J130" i="3" a="1"/>
  <c r="S9" i="3" a="1"/>
  <c r="I80" i="3" a="1"/>
  <c r="F80" i="3" a="1"/>
  <c r="T182" i="3" a="1"/>
  <c r="X60" i="3" a="1"/>
  <c r="S70" i="3" a="1"/>
  <c r="H41" i="3" a="1"/>
  <c r="M160" i="3" a="1"/>
  <c r="Y147" i="3" a="1"/>
  <c r="Q137" i="3" a="1"/>
  <c r="V56" i="3" a="1"/>
  <c r="M122" i="3" a="1"/>
  <c r="B22" i="3" a="1"/>
  <c r="E150" i="3" a="1"/>
  <c r="F166" i="3" a="1"/>
  <c r="C54" i="3" a="1"/>
  <c r="J60" i="3" a="1"/>
  <c r="T77" i="3" a="1"/>
  <c r="A14" i="3" a="1"/>
  <c r="R22" i="3" a="1"/>
  <c r="U91" i="3" a="1"/>
  <c r="N20" i="3" a="1"/>
  <c r="G8" i="3" a="1"/>
  <c r="P78" i="3" a="1"/>
  <c r="E235" i="3" a="1"/>
  <c r="U219" i="3" a="1"/>
  <c r="T154" i="3" a="1"/>
  <c r="L188" i="3" a="1"/>
  <c r="D107" i="3" a="1"/>
  <c r="Y221" i="3" a="1"/>
  <c r="I86" i="3" a="1"/>
  <c r="H72" i="3" a="1"/>
  <c r="S43" i="3" a="1"/>
  <c r="M104" i="3" a="1"/>
  <c r="S122" i="3" a="1"/>
  <c r="AB251" i="3" a="1"/>
  <c r="T139" i="3" a="1"/>
  <c r="V113" i="3" a="1"/>
  <c r="T46" i="3" a="1"/>
  <c r="R71" i="3" a="1"/>
  <c r="F132" i="3" a="1"/>
  <c r="D21" i="3" a="1"/>
  <c r="O19" i="3" a="1"/>
  <c r="O41" i="3" a="1"/>
  <c r="AC241" i="3" a="1"/>
  <c r="G238" i="3" a="1"/>
  <c r="J225" i="3" a="1"/>
  <c r="W118" i="3" a="1"/>
  <c r="W143" i="3" a="1"/>
  <c r="P220" i="3" a="1"/>
  <c r="X156" i="3" a="1"/>
  <c r="Q134" i="3" a="1"/>
  <c r="AC204" i="3" a="1"/>
  <c r="T30" i="3" a="1"/>
  <c r="V204" i="3" a="1"/>
  <c r="K165" i="3" a="1"/>
  <c r="G127" i="3" a="1"/>
  <c r="X108" i="3" a="1"/>
  <c r="M128" i="3" a="1"/>
  <c r="P60" i="3" a="1"/>
  <c r="N69" i="3" a="1"/>
  <c r="T99" i="3" a="1"/>
  <c r="Z18" i="3" a="1"/>
  <c r="K243" i="3" a="1"/>
  <c r="L237" i="3" a="1"/>
  <c r="K115" i="3" a="1"/>
  <c r="S64" i="3" a="1"/>
  <c r="N21" i="3" a="1"/>
  <c r="Y8" i="3" a="1"/>
  <c r="B62" i="3" a="1"/>
  <c r="K249" i="3" a="1"/>
  <c r="A25" i="3" a="1"/>
  <c r="AD248" i="3" a="1"/>
  <c r="V174" i="3" a="1"/>
  <c r="T155" i="3" a="1"/>
  <c r="P200" i="3" a="1"/>
  <c r="X89" i="3" a="1"/>
  <c r="AD76" i="3" a="1"/>
  <c r="R237" i="3" a="1"/>
  <c r="Z144" i="3" a="1"/>
  <c r="S16" i="3" a="1"/>
  <c r="L61" i="3" a="1"/>
  <c r="C131" i="3" a="1"/>
  <c r="W15" i="3" a="1"/>
  <c r="S206" i="3" a="1"/>
  <c r="A217" i="3" a="1"/>
  <c r="O110" i="3" a="1"/>
  <c r="Y45" i="3" a="1"/>
  <c r="J249" i="3" a="1"/>
  <c r="Y226" i="3" a="1"/>
  <c r="R236" i="3" a="1"/>
  <c r="Z45" i="3" a="1"/>
  <c r="W69" i="3" a="1"/>
  <c r="I47" i="3" a="1"/>
  <c r="G196" i="3" a="1"/>
  <c r="V147" i="3" a="1"/>
  <c r="B253" i="3" a="1"/>
  <c r="X105" i="3" a="1"/>
  <c r="K143" i="3" a="1"/>
  <c r="L32" i="3" a="1"/>
  <c r="O185" i="3" a="1"/>
  <c r="V47" i="3" a="1"/>
  <c r="A166" i="3" a="1"/>
  <c r="B133" i="3" a="1"/>
  <c r="P233" i="3" a="1"/>
  <c r="T115" i="3" a="1"/>
  <c r="V32" i="3" a="1"/>
  <c r="V224" i="3" a="1"/>
  <c r="K70" i="3" a="1"/>
  <c r="T94" i="3" a="1"/>
  <c r="S174" i="3" a="1"/>
  <c r="A220" i="3" a="1"/>
  <c r="X217" i="3" a="1"/>
  <c r="G188" i="3" a="1"/>
  <c r="O178" i="3" a="1"/>
  <c r="D181" i="3" a="1"/>
  <c r="J197" i="3" a="1"/>
  <c r="V129" i="3" a="1"/>
  <c r="S223" i="3" a="1"/>
  <c r="G93" i="3" a="1"/>
  <c r="AB16" i="3" a="1"/>
  <c r="O203" i="3" a="1"/>
  <c r="AC117" i="3" a="1"/>
  <c r="J73" i="3" a="1"/>
  <c r="AB224" i="3" a="1"/>
  <c r="A4" i="3" a="1"/>
  <c r="Y154" i="3" a="1"/>
  <c r="AA236" i="3" a="1"/>
  <c r="H228" i="3" a="1"/>
  <c r="U248" i="3" a="1"/>
  <c r="X160" i="3" a="1"/>
  <c r="Y148" i="3" a="1"/>
  <c r="S103" i="3" a="1"/>
  <c r="B177" i="3" a="1"/>
  <c r="T17" i="3" a="1"/>
  <c r="R210" i="3" a="1"/>
  <c r="L39" i="3" a="1"/>
  <c r="R60" i="3" a="1"/>
  <c r="V43" i="3" a="1"/>
  <c r="H124" i="3" a="1"/>
  <c r="A13" i="3" a="1"/>
  <c r="A235" i="3" a="1"/>
  <c r="AD137" i="3" a="1"/>
  <c r="G120" i="3" a="1"/>
  <c r="K16" i="3" a="1"/>
  <c r="P245" i="3" a="1"/>
  <c r="G37" i="3" a="1"/>
  <c r="AD142" i="3" a="1"/>
  <c r="R189" i="3" a="1"/>
  <c r="N132" i="3" a="1"/>
  <c r="Z59" i="3" a="1"/>
  <c r="K203" i="3" a="1"/>
  <c r="Q211" i="3" a="1"/>
  <c r="P82" i="3" a="1"/>
  <c r="F116" i="3" a="1"/>
  <c r="Z129" i="3" a="1"/>
  <c r="C124" i="3" a="1"/>
  <c r="AD254" i="3" a="1"/>
  <c r="R28" i="3" a="1"/>
  <c r="AD223" i="3" a="1"/>
  <c r="P16" i="3" a="1"/>
  <c r="S41" i="3" a="1"/>
  <c r="G183" i="3" a="1"/>
  <c r="T9" i="3" a="1"/>
  <c r="A119" i="3" a="1"/>
  <c r="Y122" i="3" a="1"/>
  <c r="AC242" i="3" a="1"/>
  <c r="D17" i="3" a="1"/>
  <c r="I79" i="3" a="1"/>
  <c r="T249" i="3" a="1"/>
  <c r="AC59" i="3" a="1"/>
  <c r="W246" i="3" a="1"/>
  <c r="F45" i="3" a="1"/>
  <c r="B158" i="3" a="1"/>
  <c r="L91" i="3" a="1"/>
  <c r="P53" i="3" a="1"/>
  <c r="I196" i="3" a="1"/>
  <c r="P29" i="3" a="1"/>
  <c r="L90" i="3" a="1"/>
  <c r="F100" i="3" a="1"/>
  <c r="F169" i="3" a="1"/>
  <c r="I222" i="3" a="1"/>
  <c r="V190" i="3" a="1"/>
  <c r="H254" i="3" a="1"/>
  <c r="AA34" i="3" a="1"/>
  <c r="Y64" i="3" a="1"/>
  <c r="AC226" i="3" a="1"/>
  <c r="Y249" i="3" a="1"/>
  <c r="Y163" i="3" a="1"/>
  <c r="R18" i="3" a="1"/>
  <c r="B180" i="3" a="1"/>
  <c r="Y58" i="3" a="1"/>
  <c r="AA254" i="3" a="1"/>
  <c r="K193" i="3" a="1"/>
  <c r="P94" i="3" a="1"/>
  <c r="C107" i="3" a="1"/>
  <c r="AA39" i="3" a="1"/>
  <c r="O124" i="3" a="1"/>
  <c r="X110" i="3" a="1"/>
  <c r="L231" i="3" a="1"/>
  <c r="J32" i="3" a="1"/>
  <c r="G3" i="3" a="1"/>
  <c r="AB203" i="3" a="1"/>
  <c r="X4" i="3" a="1"/>
  <c r="H154" i="3" a="1"/>
  <c r="B86" i="3" a="1"/>
  <c r="AC154" i="3" a="1"/>
  <c r="G182" i="3" a="1"/>
  <c r="J65" i="3" a="1"/>
  <c r="M162" i="3" a="1"/>
  <c r="N87" i="3" a="1"/>
  <c r="AB53" i="3" a="1"/>
  <c r="R183" i="3" a="1"/>
  <c r="W27" i="3" a="1"/>
  <c r="H192" i="3" a="1"/>
  <c r="V25" i="3" a="1"/>
  <c r="AC247" i="3" a="1"/>
  <c r="O43" i="3" a="1"/>
  <c r="D211" i="3" a="1"/>
  <c r="L238" i="3" a="1"/>
  <c r="AB132" i="3" a="1"/>
  <c r="B110" i="3" a="1"/>
  <c r="AA144" i="3" a="1"/>
  <c r="G55" i="3" a="1"/>
  <c r="B132" i="3" a="1"/>
  <c r="C150" i="3" a="1"/>
  <c r="Y162" i="3" a="1"/>
  <c r="V30" i="3" a="1"/>
  <c r="Q219" i="3" a="1"/>
  <c r="Q10" i="3" a="1"/>
  <c r="X137" i="3" a="1"/>
  <c r="AB29" i="3" a="1"/>
  <c r="J172" i="3" a="1"/>
  <c r="I244" i="3" a="1"/>
  <c r="K142" i="3" a="1"/>
  <c r="J51" i="3" a="1"/>
  <c r="V21" i="3" a="1"/>
  <c r="Y82" i="3" a="1"/>
  <c r="AA27" i="3" a="1"/>
  <c r="Y198" i="3" a="1"/>
  <c r="B162" i="3" a="1"/>
  <c r="S161" i="3" a="1"/>
  <c r="O130" i="3" a="1"/>
  <c r="T68" i="3" a="1"/>
  <c r="W3" i="3" a="1"/>
  <c r="I65" i="3" a="1"/>
  <c r="D187" i="3" a="1"/>
  <c r="D148" i="3" a="1"/>
  <c r="G41" i="3" a="1"/>
  <c r="D122" i="3" a="1"/>
  <c r="C20" i="3" a="1"/>
  <c r="N95" i="3" a="1"/>
  <c r="AB113" i="3" a="1"/>
  <c r="U169" i="3" a="1"/>
  <c r="AD199" i="3" a="1"/>
  <c r="D136" i="3" a="1"/>
  <c r="AB10" i="3" a="1"/>
  <c r="N48" i="3" a="1"/>
  <c r="K130" i="3" a="1"/>
  <c r="L198" i="3" a="1"/>
  <c r="T159" i="3" a="1"/>
  <c r="N3" i="3" a="1"/>
  <c r="S200" i="3" a="1"/>
  <c r="O76" i="3" a="1"/>
  <c r="G90" i="3" a="1"/>
  <c r="O120" i="3" a="1"/>
  <c r="A107" i="3" a="1"/>
  <c r="F122" i="3" a="1"/>
  <c r="AC71" i="3" a="1"/>
  <c r="S5" i="3" a="1"/>
  <c r="S164" i="3" a="1"/>
  <c r="E70" i="3" a="1"/>
  <c r="Q11" i="3" a="1"/>
  <c r="B119" i="3" a="1"/>
  <c r="E170" i="3" a="1"/>
  <c r="E125" i="3" a="1"/>
  <c r="AC11" i="3" a="1"/>
  <c r="F103" i="3" a="1"/>
  <c r="I44" i="3" a="1"/>
  <c r="K87" i="3" a="1"/>
  <c r="E90" i="3" a="1"/>
  <c r="N174" i="3" a="1"/>
  <c r="L214" i="3" a="1"/>
  <c r="P169" i="3" a="1"/>
  <c r="V86" i="3" a="1"/>
  <c r="N244" i="3" a="1"/>
  <c r="A95" i="3" a="1"/>
  <c r="C165" i="3" a="1"/>
  <c r="P229" i="3" a="1"/>
  <c r="H130" i="3" a="1"/>
  <c r="M109" i="3" a="1"/>
  <c r="D141" i="3" a="1"/>
  <c r="O70" i="3" a="1"/>
  <c r="F186" i="3" a="1"/>
  <c r="Y133" i="3" a="1"/>
  <c r="N253" i="3" a="1"/>
  <c r="X102" i="3" a="1"/>
  <c r="W192" i="3" a="1"/>
  <c r="C34" i="3" a="1"/>
  <c r="B78" i="3" a="1"/>
  <c r="E248" i="3" a="1"/>
  <c r="G45" i="3" a="1"/>
  <c r="N47" i="3" a="1"/>
  <c r="A15" i="3" a="1"/>
  <c r="AA19" i="3" a="1"/>
  <c r="AA83" i="3" a="1"/>
  <c r="H170" i="3" a="1"/>
  <c r="P205" i="3" a="1"/>
  <c r="W95" i="3" a="1"/>
  <c r="X253" i="3" a="1"/>
  <c r="D201" i="3" a="1"/>
  <c r="B163" i="3" a="1"/>
  <c r="O243" i="3" a="1"/>
  <c r="AC121" i="3" a="1"/>
  <c r="B189" i="3" a="1"/>
  <c r="I107" i="3" a="1"/>
  <c r="N94" i="3" a="1"/>
  <c r="N242" i="3" a="1"/>
  <c r="Z2" i="3" a="1"/>
  <c r="T133" i="3" a="1"/>
  <c r="T81" i="3" a="1"/>
  <c r="W61" i="3" a="1"/>
  <c r="U161" i="3" a="1"/>
  <c r="U175" i="3" a="1"/>
  <c r="Z39" i="3" a="1"/>
  <c r="X93" i="3" a="1"/>
  <c r="R191" i="3" a="1"/>
  <c r="K149" i="3" a="1"/>
  <c r="D172" i="3" a="1"/>
  <c r="H103" i="3" a="1"/>
  <c r="O105" i="3" a="1"/>
  <c r="R91" i="3" a="1"/>
  <c r="A199" i="3" a="1"/>
  <c r="O136" i="3" a="1"/>
  <c r="B21" i="3" a="1"/>
  <c r="P37" i="3" a="1"/>
  <c r="T253" i="3" a="1"/>
  <c r="D224" i="3" a="1"/>
  <c r="D184" i="3" a="1"/>
  <c r="J117" i="3" a="1"/>
  <c r="AA229" i="3" a="1"/>
  <c r="O175" i="3" a="1"/>
  <c r="AA235" i="3" a="1"/>
  <c r="C80" i="3" a="1"/>
  <c r="Y237" i="3" a="1"/>
  <c r="AC126" i="3" a="1"/>
  <c r="Q35" i="3" a="1"/>
  <c r="AC132" i="3" a="1"/>
  <c r="B53" i="3" a="1"/>
  <c r="U129" i="3" a="1"/>
  <c r="AB2" i="3" a="1"/>
  <c r="X25" i="3" a="1"/>
  <c r="R90" i="3" a="1"/>
  <c r="X46" i="3" a="1"/>
  <c r="O238" i="3" a="1"/>
  <c r="N243" i="3" a="1"/>
  <c r="AB76" i="3" a="1"/>
  <c r="H39" i="3" a="1"/>
  <c r="T36" i="3" a="1"/>
  <c r="P9" i="3" a="1"/>
  <c r="AC230" i="3" a="1"/>
  <c r="A87" i="3" a="1"/>
  <c r="S160" i="3" a="1"/>
  <c r="B55" i="3" a="1"/>
  <c r="X243" i="3" a="1"/>
  <c r="K74" i="3" a="1"/>
  <c r="M96" i="3" a="1"/>
  <c r="N155" i="3" a="1"/>
  <c r="L232" i="3" a="1"/>
  <c r="G246" i="3" a="1"/>
  <c r="J21" i="3" a="1"/>
  <c r="R7" i="3" a="1"/>
  <c r="T122" i="3" a="1"/>
  <c r="K167" i="3" a="1"/>
  <c r="S57" i="3" a="1"/>
  <c r="S231" i="3" a="1"/>
  <c r="E50" i="3" a="1"/>
  <c r="L106" i="3" a="1"/>
  <c r="B90" i="3" a="1"/>
  <c r="A99" i="3" a="1"/>
  <c r="W24" i="3" a="1"/>
  <c r="T147" i="3" a="1"/>
  <c r="O226" i="3" a="1"/>
  <c r="A16" i="3" a="1"/>
  <c r="O142" i="3" a="1"/>
  <c r="AA23" i="3" a="1"/>
  <c r="AD143" i="3" a="1"/>
  <c r="M115" i="3" a="1"/>
  <c r="J216" i="3" a="1"/>
  <c r="B199" i="3" a="1"/>
  <c r="D133" i="3" a="1"/>
  <c r="V33" i="3" a="1"/>
  <c r="AD28" i="3" a="1"/>
  <c r="D232" i="3" a="1"/>
  <c r="I98" i="3" a="1"/>
  <c r="F105" i="3" a="1"/>
  <c r="F150" i="3" a="1"/>
  <c r="M172" i="3" a="1"/>
  <c r="T197" i="3" a="1"/>
  <c r="N41" i="3" a="1"/>
  <c r="S97" i="3" a="1"/>
  <c r="A206" i="3" a="1"/>
  <c r="N125" i="3" a="1"/>
  <c r="L59" i="3" a="1"/>
  <c r="P67" i="3" a="1"/>
  <c r="AA223" i="3" a="1"/>
  <c r="AD178" i="3" a="1"/>
  <c r="Q202" i="3" a="1"/>
  <c r="U70" i="3" a="1"/>
  <c r="D20" i="3" a="1"/>
  <c r="M45" i="3" a="1"/>
  <c r="H250" i="3" a="1"/>
  <c r="H25" i="3" a="1"/>
  <c r="Z65" i="3" a="1"/>
  <c r="A237" i="3" a="1"/>
  <c r="G100" i="3" a="1"/>
  <c r="AD31" i="3" a="1"/>
  <c r="P192" i="3" a="1"/>
  <c r="AB138" i="3" a="1"/>
  <c r="M205" i="3" a="1"/>
  <c r="Z148" i="3" a="1"/>
  <c r="X27" i="3" a="1"/>
  <c r="M4" i="3" a="1"/>
  <c r="D78" i="3" a="1"/>
  <c r="Z43" i="3" a="1"/>
  <c r="X13" i="3" a="1"/>
  <c r="F153" i="3" a="1"/>
  <c r="E17" i="3" a="1"/>
  <c r="X192" i="3" a="1"/>
  <c r="I209" i="3" a="1"/>
  <c r="T123" i="3" a="1"/>
  <c r="H211" i="3" a="1"/>
  <c r="A167" i="3" a="1"/>
  <c r="D160" i="3" a="1"/>
  <c r="E32" i="3" a="1"/>
  <c r="AB64" i="3" a="1"/>
  <c r="J135" i="3" a="1"/>
  <c r="M95" i="3" a="1"/>
  <c r="G51" i="3" a="1"/>
  <c r="O221" i="3" a="1"/>
  <c r="F38" i="3" a="1"/>
  <c r="AD113" i="3" a="1"/>
  <c r="B172" i="3" a="1"/>
  <c r="B219" i="3" a="1"/>
  <c r="V83" i="3" a="1"/>
  <c r="U56" i="3" a="1"/>
  <c r="Y9" i="3" a="1"/>
  <c r="Y145" i="3" a="1"/>
  <c r="C137" i="3" a="1"/>
  <c r="A43" i="3" a="1"/>
  <c r="AD5" i="3" a="1"/>
  <c r="Q203" i="3" a="1"/>
  <c r="K112" i="3" a="1"/>
  <c r="P182" i="3" a="1"/>
  <c r="B7" i="3" a="1"/>
  <c r="AC200" i="3" a="1"/>
  <c r="J190" i="3" a="1"/>
  <c r="S128" i="3" a="1"/>
  <c r="G115" i="3" a="1"/>
  <c r="X246" i="3" a="1"/>
  <c r="O96" i="3" a="1"/>
  <c r="A183" i="3" a="1"/>
  <c r="Z58" i="3" a="1"/>
  <c r="R19" i="3" a="1"/>
  <c r="B15" i="3" a="1"/>
  <c r="W177" i="3" a="1"/>
  <c r="R51" i="3" a="1"/>
  <c r="AD251" i="3" a="1"/>
  <c r="G184" i="3" a="1"/>
  <c r="A131" i="3" a="1"/>
  <c r="H23" i="3" a="1"/>
  <c r="AD97" i="3" a="1"/>
  <c r="V188" i="3" a="1"/>
  <c r="AB13" i="3" a="1"/>
  <c r="R207" i="3" a="1"/>
  <c r="AA17" i="3" a="1"/>
  <c r="U163" i="3" a="1"/>
  <c r="E226" i="3" a="1"/>
  <c r="Y53" i="3" a="1"/>
  <c r="M188" i="3" a="1"/>
  <c r="C87" i="3" a="1"/>
  <c r="C168" i="3" a="1"/>
  <c r="Q54" i="3" a="1"/>
  <c r="AD6" i="3" a="1"/>
  <c r="R206" i="3" a="1"/>
  <c r="J98" i="3" a="1"/>
  <c r="R192" i="3" a="1"/>
  <c r="Y192" i="3" a="1"/>
  <c r="R235" i="3" a="1"/>
  <c r="Y106" i="3" a="1"/>
  <c r="N33" i="3" a="1"/>
  <c r="X186" i="3" a="1"/>
  <c r="AC197" i="3" a="1"/>
  <c r="AA37" i="3" a="1"/>
  <c r="M163" i="3" a="1"/>
  <c r="P131" i="3" a="1"/>
  <c r="E49" i="3" a="1"/>
  <c r="AD190" i="3" a="1"/>
  <c r="W89" i="3" a="1"/>
  <c r="V200" i="3" a="1"/>
  <c r="I66" i="3" a="1"/>
  <c r="W47" i="3" a="1"/>
  <c r="Q28" i="3" a="1"/>
  <c r="N175" i="3" a="1"/>
  <c r="S49" i="3" a="1"/>
  <c r="W66" i="3" a="1"/>
  <c r="V53" i="3" a="1"/>
  <c r="K197" i="3" a="1"/>
  <c r="A42" i="3" a="1"/>
  <c r="U4" i="3" a="1"/>
  <c r="O143" i="3" a="1"/>
  <c r="T10" i="3" a="1"/>
  <c r="O147" i="3" a="1"/>
  <c r="B95" i="3" a="1"/>
  <c r="Q205" i="3" a="1"/>
  <c r="H44" i="3" a="1"/>
  <c r="T198" i="3" a="1"/>
  <c r="G4" i="3" a="1"/>
  <c r="E231" i="3" a="1"/>
  <c r="H233" i="3" a="1"/>
  <c r="C179" i="3" a="1"/>
  <c r="A129" i="3" a="1"/>
  <c r="Q171" i="3" a="1"/>
  <c r="M176" i="3" a="1"/>
  <c r="H83" i="3" a="1"/>
  <c r="J80" i="3" a="1"/>
  <c r="F238" i="3" a="1"/>
  <c r="Y83" i="3" a="1"/>
  <c r="B10" i="3" a="1"/>
  <c r="AD48" i="3" a="1"/>
  <c r="N9" i="3" a="1"/>
  <c r="AC186" i="3" a="1"/>
  <c r="P230" i="3" a="1"/>
  <c r="F192" i="3" a="1"/>
  <c r="C223" i="3" a="1"/>
  <c r="AD160" i="3" a="1"/>
  <c r="E81" i="3" a="1"/>
  <c r="AB165" i="3" a="1"/>
  <c r="I88" i="3" a="1"/>
  <c r="AB110" i="3" a="1"/>
  <c r="AD207" i="3" a="1"/>
  <c r="M92" i="3" a="1"/>
  <c r="X121" i="3" a="1"/>
  <c r="Q126" i="3" a="1"/>
  <c r="X194" i="3" a="1"/>
  <c r="R4" i="3" a="1"/>
  <c r="A76" i="3" a="1"/>
  <c r="AB124" i="3" a="1"/>
  <c r="D76" i="3" a="1"/>
  <c r="AB139" i="3" a="1"/>
  <c r="AD13" i="3" a="1"/>
  <c r="S177" i="3" a="1"/>
  <c r="P189" i="3" a="1"/>
  <c r="AA71" i="3" a="1"/>
  <c r="V156" i="3" a="1"/>
  <c r="O232" i="3" a="1"/>
  <c r="Y39" i="3" a="1"/>
  <c r="V122" i="3" a="1"/>
  <c r="R82" i="3" a="1"/>
  <c r="B151" i="3" a="1"/>
  <c r="X245" i="3" a="1"/>
  <c r="K246" i="3" a="1"/>
  <c r="AA68" i="3" a="1"/>
  <c r="D177" i="3" a="1"/>
  <c r="B186" i="3" a="1"/>
  <c r="Q93" i="3" a="1"/>
  <c r="H50" i="3" a="1"/>
  <c r="H10" i="3" a="1"/>
  <c r="S22" i="3" a="1"/>
  <c r="O108" i="3" a="1"/>
  <c r="Y170" i="3" a="1"/>
  <c r="P238" i="3" a="1"/>
  <c r="M60" i="3" a="1"/>
  <c r="Z134" i="3" a="1"/>
  <c r="C109" i="3" a="1"/>
  <c r="G12" i="3" a="1"/>
  <c r="X111" i="3" a="1"/>
  <c r="T158" i="3" a="1"/>
  <c r="M52" i="3" a="1"/>
  <c r="I110" i="3" a="1"/>
  <c r="U13" i="3" a="1"/>
  <c r="N149" i="3" a="1"/>
  <c r="AA188" i="3" a="1"/>
  <c r="X104" i="3" a="1"/>
  <c r="Q37" i="3" a="1"/>
  <c r="K46" i="3" a="1"/>
  <c r="M81" i="3" a="1"/>
  <c r="Z182" i="3" a="1"/>
  <c r="E203" i="3" a="1"/>
  <c r="L74" i="3" a="1"/>
  <c r="O165" i="3" a="1"/>
  <c r="H21" i="3" a="1"/>
  <c r="U252" i="3" a="1"/>
  <c r="W190" i="3" a="1"/>
  <c r="A104" i="3" a="1"/>
  <c r="U235" i="3" a="1"/>
  <c r="S220" i="3" a="1"/>
  <c r="AB135" i="3" a="1"/>
  <c r="Q121" i="3" a="1"/>
  <c r="AA2" i="3" a="1"/>
  <c r="Z223" i="3" a="1"/>
  <c r="AC193" i="3" a="1"/>
  <c r="Q239" i="3" a="1"/>
  <c r="V27" i="3" a="1"/>
  <c r="Y14" i="3" a="1"/>
  <c r="P81" i="3" a="1"/>
  <c r="T187" i="3" a="1"/>
  <c r="AA222" i="3" a="1"/>
  <c r="D36" i="3" a="1"/>
  <c r="G192" i="3" a="1"/>
  <c r="B39" i="3" a="1"/>
  <c r="N61" i="3" a="1"/>
  <c r="Y49" i="3" a="1"/>
  <c r="K114" i="3" a="1"/>
  <c r="Z192" i="3" a="1"/>
  <c r="U134" i="3" a="1"/>
  <c r="M151" i="3" a="1"/>
  <c r="X72" i="3" a="1"/>
  <c r="B121" i="3" a="1"/>
  <c r="W38" i="3" a="1"/>
  <c r="AA184" i="3" a="1"/>
  <c r="AC12" i="3" a="1"/>
  <c r="O67" i="3" a="1"/>
  <c r="J90" i="3" a="1"/>
  <c r="W85" i="3" a="1"/>
  <c r="A56" i="3" a="1"/>
  <c r="N153" i="3" a="1"/>
  <c r="P242" i="3" a="1"/>
  <c r="I5" i="3" a="1"/>
  <c r="A120" i="3" a="1"/>
  <c r="X38" i="3" a="1"/>
  <c r="D71" i="3" a="1"/>
  <c r="H191" i="3" a="1"/>
  <c r="R178" i="3" a="1"/>
  <c r="R224" i="3" a="1"/>
  <c r="M18" i="3" a="1"/>
  <c r="V246" i="3" a="1"/>
  <c r="AB31" i="3" a="1"/>
  <c r="Z16" i="3" a="1"/>
  <c r="J168" i="3" a="1"/>
  <c r="P59" i="3" a="1"/>
  <c r="R212" i="3" a="1"/>
  <c r="N51" i="3" a="1"/>
  <c r="E210" i="3" a="1"/>
  <c r="P104" i="3" a="1"/>
  <c r="B14" i="3" a="1"/>
  <c r="AD85" i="3" a="1"/>
  <c r="I113" i="3" a="1"/>
  <c r="V15" i="3" a="1"/>
  <c r="E195" i="3" a="1"/>
  <c r="W211" i="3" a="1"/>
  <c r="B70" i="3" a="1"/>
  <c r="W198" i="3" a="1"/>
  <c r="AB28" i="3" a="1"/>
  <c r="G82" i="3" a="1"/>
  <c r="AD122" i="3" a="1"/>
  <c r="M84" i="3" a="1"/>
  <c r="S108" i="3" a="1"/>
  <c r="J13" i="3" a="1"/>
  <c r="S14" i="3" a="1"/>
  <c r="R31" i="3" a="1"/>
  <c r="W193" i="3" a="1"/>
  <c r="U176" i="3" a="1"/>
  <c r="D95" i="3" a="1"/>
  <c r="O246" i="3" a="1"/>
  <c r="M227" i="3" a="1"/>
  <c r="J161" i="3" a="1"/>
  <c r="G136" i="3" a="1"/>
  <c r="G135" i="3" a="1"/>
  <c r="H45" i="3" a="1"/>
  <c r="N52" i="3" a="1"/>
  <c r="A196" i="3" a="1"/>
  <c r="P14" i="3" a="1"/>
  <c r="O234" i="3" a="1"/>
  <c r="Z63" i="3" a="1"/>
  <c r="L185" i="3" a="1"/>
  <c r="D125" i="3" a="1"/>
  <c r="I229" i="3" a="1"/>
  <c r="Z80" i="3" a="1"/>
  <c r="AA67" i="3" a="1"/>
  <c r="K82" i="3" a="1"/>
  <c r="P219" i="3" a="1"/>
  <c r="W109" i="3" a="1"/>
  <c r="G61" i="3" a="1"/>
  <c r="F24" i="3" a="1"/>
  <c r="AC155" i="3" a="1"/>
  <c r="K98" i="3" a="1"/>
  <c r="AB190" i="3" a="1"/>
  <c r="Y113" i="3" a="1"/>
  <c r="AC54" i="3" a="1"/>
  <c r="E79" i="3" a="1"/>
  <c r="N236" i="3" a="1"/>
  <c r="Y69" i="3" a="1"/>
  <c r="H27" i="3" a="1"/>
  <c r="G209" i="3" a="1"/>
  <c r="Z107" i="3" a="1"/>
  <c r="O117" i="3" a="1"/>
  <c r="J97" i="3" a="1"/>
  <c r="U139" i="3" a="1"/>
  <c r="U106" i="3" a="1"/>
  <c r="Q159" i="3" a="1"/>
  <c r="Z91" i="3" a="1"/>
  <c r="AA182" i="3" a="1"/>
  <c r="AB19" i="3" a="1"/>
  <c r="Q116" i="3" a="1"/>
  <c r="H241" i="3" a="1"/>
  <c r="A72" i="3" a="1"/>
  <c r="D31" i="3" a="1"/>
  <c r="AB40" i="3" a="1"/>
  <c r="D65" i="3" a="1"/>
  <c r="U79" i="3" a="1"/>
  <c r="I24" i="3" a="1"/>
  <c r="X173" i="3" a="1"/>
  <c r="A227" i="3" a="1"/>
  <c r="L79" i="3" a="1"/>
  <c r="F77" i="3" a="1"/>
  <c r="S242" i="3" a="1"/>
  <c r="S29" i="3" a="1"/>
  <c r="G56" i="3" a="1"/>
  <c r="M55" i="3" a="1"/>
  <c r="V64" i="3" a="1"/>
  <c r="K204" i="3" a="1"/>
  <c r="H121" i="3" a="1"/>
  <c r="M11" i="3" a="1"/>
  <c r="F155" i="3" a="1"/>
  <c r="K39" i="3" a="1"/>
  <c r="W125" i="3" a="1"/>
  <c r="AC113" i="3" a="1"/>
  <c r="C62" i="3" a="1"/>
  <c r="I11" i="3" a="1"/>
  <c r="G84" i="3" a="1"/>
  <c r="H34" i="3" a="1"/>
  <c r="U31" i="3" a="1"/>
  <c r="A154" i="3" a="1"/>
  <c r="C32" i="3" a="1"/>
  <c r="D26" i="3" a="1"/>
  <c r="G172" i="3" a="1"/>
  <c r="C243" i="3" a="1"/>
  <c r="S246" i="3" a="1"/>
  <c r="S163" i="3" a="1"/>
  <c r="B246" i="3" a="1"/>
  <c r="J88" i="3" a="1"/>
  <c r="L178" i="3" a="1"/>
  <c r="O233" i="3" a="1"/>
  <c r="AC205" i="3" a="1"/>
  <c r="AD112" i="3" a="1"/>
  <c r="P108" i="3" a="1"/>
  <c r="B89" i="3" a="1"/>
  <c r="K132" i="3" a="1"/>
  <c r="Q13" i="3" a="1"/>
  <c r="Z72" i="3" a="1"/>
  <c r="O99" i="3" a="1"/>
  <c r="H224" i="3" a="1"/>
  <c r="M170" i="3" a="1"/>
  <c r="K218" i="3" a="1"/>
  <c r="AD188" i="3" a="1"/>
  <c r="AC140" i="3" a="1"/>
  <c r="B98" i="3" a="1"/>
  <c r="I122" i="3" a="1"/>
  <c r="U103" i="3" a="1"/>
  <c r="F178" i="3" a="1"/>
  <c r="Z123" i="3" a="1"/>
  <c r="Y5" i="3" a="1"/>
  <c r="H53" i="3" a="1"/>
  <c r="AA6" i="3" a="1"/>
  <c r="K100" i="3" a="1"/>
  <c r="A173" i="3" a="1"/>
  <c r="R132" i="3" a="1"/>
  <c r="S125" i="3" a="1"/>
  <c r="V185" i="3" a="1"/>
  <c r="B36" i="3" a="1"/>
  <c r="S254" i="3" a="1"/>
  <c r="C74" i="3" a="1"/>
  <c r="W203" i="3" a="1"/>
  <c r="X193" i="3" a="1"/>
  <c r="E105" i="3" a="1"/>
  <c r="AA228" i="3" a="1"/>
  <c r="K90" i="3" a="1"/>
  <c r="N128" i="3" a="1"/>
  <c r="B16" i="3" a="1"/>
  <c r="T140" i="3" a="1"/>
  <c r="E84" i="3" a="1"/>
  <c r="W73" i="3" a="1"/>
  <c r="L247" i="3" a="1"/>
  <c r="AD231" i="3" a="1"/>
  <c r="F78" i="3" a="1"/>
  <c r="E230" i="3" a="1"/>
  <c r="AD158" i="3" a="1"/>
  <c r="O36" i="3" a="1"/>
  <c r="W80" i="3" a="1"/>
  <c r="V198" i="3" a="1"/>
  <c r="X218" i="3" a="1"/>
  <c r="Q7" i="3" a="1"/>
  <c r="H77" i="3" a="1"/>
  <c r="Z62" i="3" a="1"/>
  <c r="L33" i="3" a="1"/>
  <c r="T76" i="3" a="1"/>
  <c r="G134" i="3" a="1"/>
  <c r="G27" i="3" a="1"/>
  <c r="A228" i="3" a="1"/>
  <c r="U209" i="3" a="1"/>
  <c r="R3" i="3" a="1"/>
  <c r="B192" i="3" a="1"/>
  <c r="B24" i="3" a="1"/>
  <c r="D66" i="3" a="1"/>
  <c r="T194" i="3" a="1"/>
  <c r="S225" i="3" a="1"/>
  <c r="U171" i="3" a="1"/>
  <c r="AD36" i="3" a="1"/>
  <c r="J233" i="3" a="1"/>
  <c r="E21" i="3" a="1"/>
  <c r="C244" i="3" a="1"/>
  <c r="V107" i="3" a="1"/>
  <c r="R107" i="3" a="1"/>
  <c r="Y181" i="3" a="1"/>
  <c r="AC63" i="3" a="1"/>
  <c r="D215" i="3" a="1"/>
  <c r="Z135" i="3" a="1"/>
  <c r="F31" i="3" a="1"/>
  <c r="C55" i="3" a="1"/>
  <c r="K229" i="3" a="1"/>
  <c r="P184" i="3" a="1"/>
  <c r="X248" i="3" a="1"/>
  <c r="X2" i="3" a="1"/>
  <c r="B168" i="3" a="1"/>
  <c r="L13" i="3" a="1"/>
  <c r="Q207" i="3" a="1"/>
  <c r="A140" i="3" a="1"/>
  <c r="D98" i="3" a="1"/>
  <c r="B173" i="3" a="1"/>
  <c r="L194" i="3" a="1"/>
  <c r="R101" i="3" a="1"/>
  <c r="C212" i="3" a="1"/>
  <c r="O90" i="3" a="1"/>
  <c r="B25" i="3" a="1"/>
  <c r="H151" i="3" a="1"/>
  <c r="Y176" i="3" a="1"/>
  <c r="G187" i="3" a="1"/>
  <c r="X227" i="3" a="1"/>
  <c r="P193" i="3" a="1"/>
  <c r="W236" i="3" a="1"/>
  <c r="P148" i="3" a="1"/>
  <c r="I231" i="3" a="1"/>
  <c r="L114" i="3" a="1"/>
  <c r="Y34" i="3" a="1"/>
  <c r="F26" i="3" a="1"/>
  <c r="U113" i="3" a="1"/>
  <c r="Y43" i="3" a="1"/>
  <c r="K56" i="3" a="1"/>
  <c r="F52" i="3" a="1"/>
  <c r="A78" i="3" a="1"/>
  <c r="X181" i="3" a="1"/>
  <c r="C215" i="3" a="1"/>
  <c r="M118" i="3" a="1"/>
  <c r="N59" i="3" a="1"/>
  <c r="H194" i="3" a="1"/>
  <c r="G228" i="3" a="1"/>
  <c r="W119" i="3" a="1"/>
  <c r="R199" i="3" a="1"/>
  <c r="C33" i="3" a="1"/>
  <c r="H101" i="3" a="1"/>
  <c r="X54" i="3" a="1"/>
  <c r="M67" i="3" a="1"/>
  <c r="AD79" i="3" a="1"/>
  <c r="K200" i="3" a="1"/>
  <c r="AB98" i="3" a="1"/>
  <c r="V68" i="3" a="1"/>
  <c r="R250" i="3" a="1"/>
  <c r="B11" i="3" a="1"/>
  <c r="Z97" i="3" a="1"/>
  <c r="AC49" i="3" a="1"/>
  <c r="M49" i="3" a="1"/>
  <c r="AD22" i="3" a="1"/>
  <c r="P61" i="3" a="1"/>
  <c r="A39" i="3" a="1"/>
  <c r="D171" i="3" a="1"/>
  <c r="T246" i="3" a="1"/>
  <c r="S11" i="3" a="1"/>
  <c r="D42" i="3" a="1"/>
  <c r="F235" i="3" a="1"/>
  <c r="G150" i="3" a="1"/>
  <c r="L253" i="3" a="1"/>
  <c r="G162" i="3" a="1"/>
  <c r="I70" i="3" a="1"/>
  <c r="W141" i="3" a="1"/>
  <c r="R174" i="3" a="1"/>
  <c r="AB33" i="3" a="1"/>
  <c r="AD94" i="3" a="1"/>
  <c r="Z194" i="3" a="1"/>
  <c r="E217" i="3" a="1"/>
  <c r="A253" i="3" a="1"/>
  <c r="P153" i="3" a="1"/>
  <c r="M207" i="3" a="1"/>
  <c r="I197" i="3" a="1"/>
  <c r="B174" i="3" a="1"/>
  <c r="AB173" i="3" a="1"/>
  <c r="Z73" i="3" a="1"/>
  <c r="E59" i="3" a="1"/>
  <c r="U73" i="3" a="1"/>
  <c r="E115" i="3" a="1"/>
  <c r="P98" i="3" a="1"/>
  <c r="Q252" i="3" a="1"/>
  <c r="B138" i="3" a="1"/>
  <c r="C127" i="3" a="1"/>
  <c r="J75" i="3" a="1"/>
  <c r="D47" i="3" a="1"/>
  <c r="F47" i="3" a="1"/>
  <c r="Q152" i="3" a="1"/>
  <c r="J119" i="3" a="1"/>
  <c r="H217" i="3" a="1"/>
  <c r="T62" i="3" a="1"/>
  <c r="W167" i="3" a="1"/>
  <c r="AA42" i="3" a="1"/>
  <c r="V3" i="3" a="1"/>
  <c r="F19" i="3" a="1"/>
  <c r="L211" i="3" a="1"/>
  <c r="I166" i="3" a="1"/>
  <c r="C25" i="3" a="1"/>
  <c r="D203" i="3" a="1"/>
  <c r="I133" i="3" a="1"/>
  <c r="L195" i="3" a="1"/>
  <c r="C171" i="3" a="1"/>
  <c r="O114" i="3" a="1"/>
  <c r="S152" i="3" a="1"/>
  <c r="AC224" i="3" a="1"/>
  <c r="R249" i="3" a="1"/>
  <c r="I92" i="3" a="1"/>
  <c r="F65" i="3" a="1"/>
  <c r="G232" i="3" a="1"/>
  <c r="M119" i="3" a="1"/>
  <c r="W5" i="3" a="1"/>
  <c r="V157" i="3" a="1"/>
  <c r="X10" i="3" a="1"/>
  <c r="A184" i="3" a="1"/>
  <c r="D103" i="3" a="1"/>
  <c r="L71" i="3" a="1"/>
  <c r="F102" i="3" a="1"/>
  <c r="AD42" i="3" a="1"/>
  <c r="N102" i="3" a="1"/>
  <c r="A245" i="3" a="1"/>
  <c r="O31" i="3" a="1"/>
  <c r="O139" i="3" a="1"/>
  <c r="E199" i="3" a="1"/>
  <c r="G191" i="3" a="1"/>
  <c r="M125" i="3" a="1"/>
  <c r="Q165" i="3" a="1"/>
  <c r="J243" i="3" a="1"/>
  <c r="H91" i="3" a="1"/>
  <c r="X200" i="3" a="1"/>
  <c r="G5" i="3" a="1"/>
  <c r="AB129" i="3" a="1"/>
  <c r="P35" i="3" a="1"/>
  <c r="AA63" i="3" a="1"/>
  <c r="I189" i="3" a="1"/>
  <c r="N53" i="3" a="1"/>
  <c r="E132" i="3" a="1"/>
  <c r="O24" i="3" a="1"/>
  <c r="AB166" i="3" a="1"/>
  <c r="E29" i="3" a="1"/>
  <c r="P128" i="3" a="1"/>
  <c r="R21" i="3" a="1"/>
  <c r="F171" i="3" a="1"/>
  <c r="B142" i="3" a="1"/>
  <c r="Z222" i="3" a="1"/>
  <c r="F146" i="3" a="1"/>
  <c r="Q102" i="3" a="1"/>
  <c r="Q174" i="3" a="1"/>
  <c r="H106" i="3" a="1"/>
  <c r="M15" i="3" a="1"/>
  <c r="D191" i="3" a="1"/>
  <c r="M123" i="3" a="1"/>
  <c r="O46" i="3" a="1"/>
  <c r="P172" i="3" a="1"/>
  <c r="R146" i="3" a="1"/>
  <c r="M244" i="3" a="1"/>
  <c r="N238" i="3" a="1"/>
  <c r="Z202" i="3" a="1"/>
  <c r="R13" i="3" a="1"/>
  <c r="W229" i="3" a="1"/>
  <c r="AD249" i="3" a="1"/>
  <c r="F109" i="3" a="1"/>
  <c r="AB201" i="3" a="1"/>
  <c r="L118" i="3" a="1"/>
  <c r="M243" i="3" a="1"/>
  <c r="I87" i="3" a="1"/>
  <c r="F121" i="3" a="1"/>
  <c r="H66" i="3" a="1"/>
  <c r="U20" i="3" a="1"/>
  <c r="AA157" i="3" a="1"/>
  <c r="AB15" i="3" a="1"/>
  <c r="Y205" i="3" a="1"/>
  <c r="F224" i="3" a="1"/>
  <c r="X70" i="3" a="1"/>
  <c r="U245" i="3" a="1"/>
  <c r="M191" i="3" a="1"/>
  <c r="Z100" i="3" a="1"/>
  <c r="T223" i="3" a="1"/>
  <c r="S153" i="3" a="1"/>
  <c r="F58" i="3" a="1"/>
  <c r="Q193" i="3" a="1"/>
  <c r="V203" i="3" a="1"/>
  <c r="H31" i="3" a="1"/>
  <c r="L63" i="3" a="1"/>
  <c r="C22" i="3" a="1"/>
  <c r="R80" i="3" a="1"/>
  <c r="H189" i="3" a="1"/>
  <c r="AB58" i="3" a="1"/>
  <c r="O250" i="3" a="1"/>
  <c r="AB25" i="3" a="1"/>
  <c r="E25" i="3" a="1"/>
  <c r="W248" i="3" a="1"/>
  <c r="AB248" i="3" a="1"/>
  <c r="S60" i="3" a="1"/>
  <c r="V94" i="3" a="1"/>
  <c r="W227" i="3" a="1"/>
  <c r="H110" i="3" a="1"/>
  <c r="E93" i="3" a="1"/>
  <c r="AB236" i="3" a="1"/>
  <c r="O224" i="3" a="1"/>
  <c r="G158" i="3" a="1"/>
  <c r="Z187" i="3" a="1"/>
  <c r="C42" i="3" a="1"/>
  <c r="T80" i="3" a="1"/>
  <c r="O52" i="3" a="1"/>
  <c r="V229" i="3" a="1"/>
  <c r="Q90" i="3" a="1"/>
  <c r="T22" i="3" a="1"/>
  <c r="R76" i="3" a="1"/>
  <c r="D157" i="3" a="1"/>
  <c r="U69" i="3" a="1"/>
  <c r="R130" i="3" a="1"/>
  <c r="I178" i="3" a="1"/>
  <c r="S44" i="3" a="1"/>
  <c r="Z155" i="3" a="1"/>
  <c r="I45" i="3" a="1"/>
  <c r="N250" i="3" a="1"/>
  <c r="M182" i="3" a="1"/>
  <c r="A48" i="3" a="1"/>
  <c r="AB243" i="3" a="1"/>
  <c r="U223" i="3" a="1"/>
  <c r="P117" i="3" a="1"/>
  <c r="J239" i="3" a="1"/>
  <c r="H236" i="3" a="1"/>
  <c r="C220" i="3" a="1"/>
  <c r="O201" i="3" a="1"/>
  <c r="X15" i="3" a="1"/>
  <c r="U2" i="3" a="1"/>
  <c r="C77" i="3" a="1"/>
  <c r="T3" i="3" a="1"/>
  <c r="AB80" i="3" a="1"/>
  <c r="Q230" i="3" a="1"/>
  <c r="AB102" i="3" a="1"/>
  <c r="A3" i="3" a="1"/>
  <c r="M25" i="3" a="1"/>
  <c r="N104" i="3" a="1"/>
  <c r="L108" i="3" a="1"/>
  <c r="I161" i="3" a="1"/>
  <c r="G131" i="3" a="1"/>
  <c r="O21" i="3" a="1"/>
  <c r="Z105" i="3" a="1"/>
  <c r="I114" i="3" a="1"/>
  <c r="W26" i="3" a="1"/>
  <c r="V177" i="3" a="1"/>
  <c r="A109" i="3" a="1"/>
  <c r="S148" i="3" a="1"/>
  <c r="T247" i="3" a="1"/>
  <c r="V228" i="3" a="1"/>
  <c r="G119" i="3" a="1"/>
  <c r="Z116" i="3" a="1"/>
  <c r="W88" i="3" a="1"/>
  <c r="X223" i="3" a="1"/>
  <c r="G38" i="3" a="1"/>
  <c r="I95" i="3" a="1"/>
  <c r="F20" i="3" a="1"/>
  <c r="T191" i="3" a="1"/>
  <c r="AC74" i="3" a="1"/>
  <c r="V138" i="3" a="1"/>
  <c r="S84" i="3" a="1"/>
  <c r="I36" i="3" a="1"/>
  <c r="P243" i="3" a="1"/>
  <c r="AA121" i="3" a="1"/>
  <c r="X65" i="3" a="1"/>
  <c r="U125" i="3" a="1"/>
  <c r="G69" i="3" a="1"/>
  <c r="G198" i="3" a="1"/>
  <c r="T107" i="3" a="1"/>
  <c r="T48" i="3" a="1"/>
  <c r="AA20" i="3" a="1"/>
  <c r="M124" i="3" a="1"/>
  <c r="B227" i="3" a="1"/>
  <c r="F130" i="3" a="1"/>
  <c r="X252" i="3" a="1"/>
  <c r="AB245" i="3" a="1"/>
  <c r="R247" i="3" a="1"/>
  <c r="F22" i="3" a="1"/>
  <c r="O54" i="3" a="1"/>
  <c r="I207" i="3" a="1"/>
  <c r="R44" i="3" a="1"/>
  <c r="M133" i="3" a="1"/>
  <c r="L84" i="3" a="1"/>
  <c r="E62" i="3" a="1"/>
  <c r="R124" i="3" a="1"/>
  <c r="D104" i="3" a="1"/>
  <c r="K11" i="3" a="1"/>
  <c r="S116" i="3" a="1"/>
  <c r="Z84" i="3" a="1"/>
  <c r="K174" i="3" a="1"/>
  <c r="AA138" i="3" a="1"/>
  <c r="D32" i="3" a="1"/>
  <c r="Q112" i="3" a="1"/>
  <c r="E111" i="3" a="1"/>
  <c r="H111" i="3" a="1"/>
  <c r="F234" i="3" a="1"/>
  <c r="Q103" i="3" a="1"/>
  <c r="Z209" i="3" a="1"/>
  <c r="AB125" i="3" a="1"/>
  <c r="AA77" i="3" a="1"/>
  <c r="C9" i="3" a="1"/>
  <c r="F180" i="3" a="1"/>
  <c r="J248" i="3" a="1"/>
  <c r="D207" i="3" a="1"/>
  <c r="S15" i="3" a="1"/>
  <c r="D115" i="3" a="1"/>
  <c r="X52" i="3" a="1"/>
  <c r="X198" i="3" a="1"/>
  <c r="G205" i="3" a="1"/>
  <c r="T59" i="3" a="1"/>
  <c r="AA208" i="3" a="1"/>
  <c r="G107" i="3" a="1"/>
  <c r="L46" i="3" a="1"/>
  <c r="I227" i="3" a="1"/>
  <c r="H178" i="3" a="1"/>
  <c r="Z216" i="3" a="1"/>
  <c r="Z28" i="3" a="1"/>
  <c r="U214" i="3" a="1"/>
  <c r="J174" i="3" a="1"/>
  <c r="L6" i="3" a="1"/>
  <c r="J166" i="3" a="1"/>
  <c r="J212" i="3" a="1"/>
  <c r="C95" i="3" a="1"/>
  <c r="AA38" i="3" a="1"/>
  <c r="D99" i="3" a="1"/>
  <c r="D167" i="3" a="1"/>
  <c r="B152" i="3" a="1"/>
  <c r="V175" i="3" a="1"/>
  <c r="M97" i="3" a="1"/>
  <c r="B220" i="3" a="1"/>
  <c r="AB253" i="3" a="1"/>
  <c r="N17" i="3" a="1"/>
  <c r="C14" i="3" a="1"/>
  <c r="B74" i="3" a="1"/>
  <c r="I215" i="3" a="1"/>
  <c r="U137" i="3" a="1"/>
  <c r="B6" i="3" a="1"/>
  <c r="B50" i="3" a="1"/>
  <c r="G35" i="3" a="1"/>
  <c r="K111" i="3" a="1"/>
  <c r="Z140" i="3" a="1"/>
  <c r="X128" i="3" a="1"/>
  <c r="B216" i="3" a="1"/>
  <c r="T231" i="3" a="1"/>
  <c r="A181" i="3" a="1"/>
  <c r="Q196" i="3" a="1"/>
  <c r="S38" i="3" a="1"/>
  <c r="W244" i="3" a="1"/>
  <c r="AC170" i="3" a="1"/>
  <c r="B38" i="3" a="1"/>
  <c r="AD73" i="3" a="1"/>
  <c r="AB247" i="3" a="1"/>
  <c r="T104" i="3" a="1"/>
  <c r="E188" i="3" a="1"/>
  <c r="A91" i="3" a="1"/>
  <c r="P47" i="3" a="1"/>
  <c r="A70" i="3" a="1"/>
  <c r="AA105" i="3" a="1"/>
  <c r="X113" i="3" a="1"/>
  <c r="E117" i="3" a="1"/>
  <c r="T156" i="3" a="1"/>
  <c r="AB235" i="3" a="1"/>
  <c r="R9" i="3" a="1"/>
  <c r="V195" i="3" a="1"/>
  <c r="W162" i="3" a="1"/>
  <c r="M19" i="3" a="1"/>
  <c r="I181" i="3" a="1"/>
  <c r="AB130" i="3" a="1"/>
  <c r="I232" i="3" a="1"/>
  <c r="H237" i="3" a="1"/>
  <c r="W214" i="3" a="1"/>
  <c r="Z128" i="3" a="1"/>
  <c r="W98" i="3" a="1"/>
  <c r="R6" i="3" a="1"/>
  <c r="Z169" i="3" a="1"/>
  <c r="T138" i="3" a="1"/>
  <c r="E157" i="3" a="1"/>
  <c r="AD253" i="3" a="1"/>
  <c r="E99" i="3" a="1"/>
  <c r="AA131" i="3" a="1"/>
  <c r="A147" i="3" a="1"/>
  <c r="J227" i="3" a="1"/>
  <c r="P72" i="3" a="1"/>
  <c r="L121" i="3" a="1"/>
  <c r="AA82" i="3" a="1"/>
  <c r="P196" i="3" a="1"/>
  <c r="D150" i="3" a="1"/>
  <c r="Q143" i="3" a="1"/>
  <c r="V62" i="3" a="1"/>
  <c r="J183" i="3" a="1"/>
  <c r="X148" i="3" a="1"/>
  <c r="N83" i="3" a="1"/>
  <c r="N63" i="3" a="1"/>
  <c r="M54" i="3" a="1"/>
  <c r="B75" i="3" a="1"/>
  <c r="F254" i="3" a="1"/>
  <c r="U93" i="3" a="1"/>
  <c r="T73" i="3" a="1"/>
  <c r="V214" i="3" a="1"/>
  <c r="X159" i="3" a="1"/>
  <c r="E20" i="3" a="1"/>
  <c r="E201" i="3" a="1"/>
  <c r="I78" i="3" a="1"/>
  <c r="S39" i="3" a="1"/>
  <c r="B188" i="3" a="1"/>
  <c r="E98" i="3" a="1"/>
  <c r="J52" i="3" a="1"/>
  <c r="K59" i="3" a="1"/>
  <c r="U130" i="3" a="1"/>
  <c r="H85" i="3" a="1"/>
  <c r="AB66" i="3" a="1"/>
  <c r="U21" i="3" a="1"/>
  <c r="F216" i="3" a="1"/>
  <c r="G112" i="3" a="1"/>
  <c r="F221" i="3" a="1"/>
  <c r="J11" i="3" a="1"/>
  <c r="E133" i="3" a="1"/>
  <c r="P95" i="3" a="1"/>
  <c r="N145" i="3" a="1"/>
  <c r="O44" i="3" a="1"/>
  <c r="W105" i="3" a="1"/>
  <c r="O179" i="3" a="1"/>
  <c r="V44" i="3" a="1"/>
  <c r="Q55" i="3" a="1"/>
  <c r="Y141" i="3" a="1"/>
  <c r="U104" i="3" a="1"/>
  <c r="P194" i="3" a="1"/>
  <c r="D22" i="3" a="1"/>
  <c r="Q106" i="3" a="1"/>
  <c r="Y94" i="3" a="1"/>
  <c r="AC209" i="3" a="1"/>
  <c r="G214" i="3" a="1"/>
  <c r="S78" i="3" a="1"/>
  <c r="AC249" i="3" a="1"/>
  <c r="H128" i="3" a="1"/>
  <c r="B108" i="3" a="1"/>
  <c r="X97" i="3" a="1"/>
  <c r="AD136" i="3" a="1"/>
  <c r="J132" i="3" a="1"/>
  <c r="L159" i="3" a="1"/>
  <c r="R57" i="3" a="1"/>
  <c r="A7" i="3" a="1"/>
  <c r="R66" i="3" a="1"/>
  <c r="L130" i="3" a="1"/>
  <c r="AB103" i="3" a="1"/>
  <c r="P11" i="3" a="1"/>
  <c r="U68" i="3" a="1"/>
  <c r="A115" i="3" a="1"/>
  <c r="C45" i="3" a="1"/>
  <c r="T12" i="3" a="1"/>
  <c r="H207" i="3" a="1"/>
  <c r="I142" i="3" a="1"/>
  <c r="I103" i="3" a="1"/>
  <c r="T193" i="3" a="1"/>
  <c r="N169" i="3" a="1"/>
  <c r="R55" i="3" a="1"/>
  <c r="V117" i="3" a="1"/>
  <c r="H5" i="3" a="1"/>
  <c r="K22" i="3" a="1"/>
  <c r="Z183" i="3" a="1"/>
  <c r="C118" i="3" a="1"/>
  <c r="M156" i="3" a="1"/>
  <c r="A138" i="3" a="1"/>
  <c r="AB155" i="3" a="1"/>
  <c r="A36" i="3" a="1"/>
  <c r="F220" i="3" a="1"/>
  <c r="J114" i="3" a="1"/>
  <c r="D84" i="3" a="1"/>
  <c r="E176" i="3" a="1"/>
  <c r="M152" i="3" a="1"/>
  <c r="AD7" i="3" a="1"/>
  <c r="T145" i="3" a="1"/>
  <c r="K58" i="3" a="1"/>
  <c r="U212" i="3" a="1"/>
  <c r="Z230" i="3" a="1"/>
  <c r="N99" i="3" a="1"/>
  <c r="A10" i="3" a="1"/>
  <c r="J137" i="3" a="1"/>
  <c r="H51" i="3" a="1"/>
  <c r="X106" i="3" a="1"/>
  <c r="I119" i="3" a="1"/>
  <c r="F107" i="3" a="1"/>
  <c r="T165" i="3" a="1"/>
  <c r="W164" i="3" a="1"/>
  <c r="B114" i="3" a="1"/>
  <c r="K8" i="3" a="1"/>
  <c r="D93" i="3" a="1"/>
  <c r="D112" i="3" a="1"/>
  <c r="C47" i="3" a="1"/>
  <c r="U228" i="3" a="1"/>
  <c r="R176" i="3" a="1"/>
  <c r="B106" i="3" a="1"/>
  <c r="O18" i="3" a="1"/>
  <c r="A169" i="3" a="1"/>
  <c r="K206" i="3" a="1"/>
  <c r="H20" i="3" a="1"/>
  <c r="S117" i="3" a="1"/>
  <c r="J91" i="3" a="1"/>
  <c r="AD103" i="3" a="1"/>
  <c r="M88" i="3" a="1"/>
  <c r="A185" i="3" a="1"/>
  <c r="S147" i="3" a="1"/>
  <c r="M57" i="3" a="1"/>
  <c r="L93" i="3" a="1"/>
  <c r="T199" i="3" a="1"/>
  <c r="S95" i="3" a="1"/>
  <c r="I42" i="3" a="1"/>
  <c r="J102" i="3" a="1"/>
  <c r="Q243" i="3" a="1"/>
  <c r="Q38" i="3" a="1"/>
  <c r="W99" i="3" a="1"/>
  <c r="W152" i="3" a="1"/>
  <c r="D24" i="3" a="1"/>
  <c r="F34" i="3" a="1"/>
  <c r="L201" i="3" a="1"/>
  <c r="H232" i="3" a="1"/>
  <c r="Q69" i="3" a="1"/>
  <c r="G113" i="3" a="1"/>
  <c r="X115" i="3" a="1"/>
  <c r="P165" i="3" a="1"/>
  <c r="Y185" i="3" a="1"/>
  <c r="K236" i="3" a="1"/>
  <c r="Y61" i="3" a="1"/>
  <c r="U59" i="3" a="1"/>
  <c r="AA253" i="3" a="1"/>
  <c r="J125" i="3" a="1"/>
  <c r="M28" i="3" a="1"/>
  <c r="D2" i="2" a="1"/>
  <c r="P161" i="3" a="1"/>
  <c r="U18" i="3" a="1"/>
  <c r="B165" i="3" a="1"/>
  <c r="P157" i="3" a="1"/>
  <c r="C133" i="3" a="1"/>
  <c r="K177" i="3" a="1"/>
  <c r="W202" i="3" a="1"/>
  <c r="L127" i="3" a="1"/>
  <c r="AB244" i="3" a="1"/>
  <c r="W30" i="3" a="1"/>
  <c r="M228" i="3" a="1"/>
  <c r="E118" i="3" a="1"/>
  <c r="U17" i="3" a="1"/>
  <c r="Z102" i="3" a="1"/>
  <c r="X8" i="3" a="1"/>
  <c r="N214" i="3" a="1"/>
  <c r="M255" i="3" a="1"/>
  <c r="M107" i="3" a="1"/>
  <c r="AA45" i="3" a="1"/>
  <c r="W70" i="3" a="1"/>
  <c r="P216" i="3" a="1"/>
  <c r="AA104" i="3" a="1"/>
  <c r="F94" i="3" a="1"/>
  <c r="H137" i="3" a="1"/>
  <c r="B208" i="3" a="1"/>
  <c r="E82" i="3" a="1"/>
  <c r="G59" i="3" a="1"/>
  <c r="O79" i="3" a="1"/>
  <c r="U108" i="3" a="1"/>
  <c r="R209" i="3" a="1"/>
  <c r="N196" i="3" a="1"/>
  <c r="K238" i="3" a="1"/>
  <c r="N171" i="3" a="1"/>
  <c r="N8" i="3" a="1"/>
  <c r="P107" i="3" a="1"/>
  <c r="U238" i="3" a="1"/>
  <c r="B91" i="3" a="1"/>
  <c r="R126" i="3" a="1"/>
  <c r="W75" i="3" a="1"/>
  <c r="X205" i="3" a="1"/>
  <c r="V180" i="3" a="1"/>
  <c r="I130" i="3" a="1"/>
  <c r="Y6" i="3" a="1"/>
  <c r="E19" i="3" a="1"/>
  <c r="B115" i="3" a="1"/>
  <c r="T61" i="3" a="1"/>
  <c r="E97" i="3" a="1"/>
  <c r="O17" i="3" a="1"/>
  <c r="L29" i="3" a="1"/>
  <c r="L243" i="3" a="1"/>
  <c r="Q83" i="3" a="1"/>
  <c r="Q240" i="3" a="1"/>
  <c r="T41" i="3" a="1"/>
  <c r="U172" i="3" a="1"/>
  <c r="S240" i="3" a="1"/>
  <c r="Q51" i="3" a="1"/>
  <c r="K64" i="3" a="1"/>
  <c r="F114" i="3" a="1"/>
  <c r="AB163" i="3" a="1"/>
  <c r="E220" i="3" a="1"/>
  <c r="H171" i="3" a="1"/>
  <c r="K119" i="3" a="1"/>
  <c r="K43" i="3" a="1"/>
  <c r="X168" i="3" a="1"/>
  <c r="L248" i="3" a="1"/>
  <c r="F5" i="3" a="1"/>
  <c r="Z48" i="3" a="1"/>
  <c r="N88" i="3" a="1"/>
  <c r="Z113" i="3" a="1"/>
  <c r="AA22" i="3" a="1"/>
  <c r="D210" i="3" a="1"/>
  <c r="Q130" i="3" a="1"/>
  <c r="Y236" i="3" a="1"/>
  <c r="AD46" i="3" a="1"/>
  <c r="AD2" i="3" a="1"/>
  <c r="X191" i="3" a="1"/>
  <c r="T87" i="3" a="1"/>
  <c r="J178" i="3" a="1"/>
  <c r="S217" i="3" a="1"/>
  <c r="H14" i="3" a="1"/>
  <c r="A252" i="3" a="1"/>
  <c r="AB21" i="3" a="1"/>
  <c r="T222" i="3" a="1"/>
  <c r="U178" i="3" a="1"/>
  <c r="W166" i="3" a="1"/>
  <c r="I154" i="3" a="1"/>
  <c r="I134" i="3" a="1"/>
  <c r="O244" i="3" a="1"/>
  <c r="AD239" i="3" a="1"/>
  <c r="W186" i="3" a="1"/>
  <c r="G85" i="3" a="1"/>
  <c r="R86" i="3" a="1"/>
  <c r="T124" i="3" a="1"/>
  <c r="U143" i="3" a="1"/>
  <c r="W48" i="3" a="1"/>
  <c r="O77" i="3" a="1"/>
  <c r="D18" i="3" a="1"/>
  <c r="R116" i="3" a="1"/>
  <c r="Q66" i="3" a="1"/>
  <c r="C110" i="3" a="1"/>
  <c r="P120" i="3" a="1"/>
  <c r="B111" i="3" a="1"/>
  <c r="J145" i="3" a="1"/>
  <c r="R88" i="3" a="1"/>
  <c r="L28" i="3" a="1"/>
  <c r="C148" i="3" a="1"/>
  <c r="B29" i="3" a="1"/>
  <c r="B185" i="3" a="1"/>
  <c r="S100" i="3" a="1"/>
  <c r="Q67" i="3" a="1"/>
  <c r="AB228" i="3" a="1"/>
  <c r="B178" i="3" a="1"/>
  <c r="I179" i="3" a="1"/>
  <c r="F176" i="3" a="1"/>
  <c r="S134" i="3" a="1"/>
  <c r="O91" i="3" a="1"/>
  <c r="N12" i="3" a="1"/>
  <c r="Q5" i="3" a="1"/>
  <c r="M183" i="3" a="1"/>
  <c r="S110" i="3" a="1"/>
  <c r="V114" i="3" a="1"/>
  <c r="R118" i="3" a="1"/>
  <c r="T71" i="3" a="1"/>
  <c r="Q195" i="3" a="1"/>
  <c r="S202" i="3" a="1"/>
  <c r="A71" i="3" a="1"/>
  <c r="W40" i="3" a="1"/>
  <c r="Z88" i="3" a="1"/>
  <c r="E87" i="3" a="1"/>
  <c r="Q228" i="3" a="1"/>
  <c r="B63" i="3" a="1"/>
  <c r="G99" i="3" a="1"/>
  <c r="L165" i="3" a="1"/>
  <c r="W31" i="3" a="1"/>
  <c r="I129" i="3" a="1"/>
  <c r="Q108" i="3" a="1"/>
  <c r="F71" i="3" a="1"/>
  <c r="K148" i="3" a="1"/>
  <c r="C67" i="3" a="1"/>
  <c r="O66" i="3" a="1"/>
  <c r="O75" i="3" a="1"/>
  <c r="Z127" i="3" a="1"/>
  <c r="D147" i="3" a="1"/>
  <c r="Q49" i="3" a="1"/>
  <c r="J48" i="3" a="1"/>
  <c r="S222" i="3" a="1"/>
  <c r="F199" i="3" a="1"/>
  <c r="P211" i="3" a="1"/>
  <c r="O20" i="3" a="1"/>
  <c r="X176" i="3" a="1"/>
  <c r="AB194" i="3" a="1"/>
  <c r="M226" i="3" a="1"/>
  <c r="AB172" i="3" a="1"/>
  <c r="R12" i="3" a="1"/>
  <c r="AD87" i="3" a="1"/>
  <c r="D4" i="3" a="1"/>
  <c r="C61" i="3" a="1"/>
  <c r="R133" i="3" a="1"/>
  <c r="R255" i="3" a="1"/>
  <c r="AD105" i="3" a="1"/>
  <c r="E153" i="3" a="1"/>
  <c r="C170" i="3" a="1"/>
  <c r="E120" i="3" a="1"/>
  <c r="O2" i="2" a="1"/>
  <c r="H89" i="3" a="1"/>
  <c r="D14" i="3" a="1"/>
  <c r="I135" i="3" a="1"/>
  <c r="P183" i="3" a="1"/>
  <c r="AC130" i="3" a="1"/>
  <c r="N25" i="3" a="1"/>
  <c r="K118" i="3" a="1"/>
  <c r="B33" i="3" a="1"/>
  <c r="H164" i="3" a="1"/>
  <c r="AA139" i="3" a="1"/>
  <c r="A219" i="3" a="1"/>
  <c r="E41" i="3" a="1"/>
  <c r="R100" i="3" a="1"/>
  <c r="O197" i="3" a="1"/>
  <c r="Y129" i="3" a="1"/>
  <c r="O101" i="3" a="1"/>
  <c r="R83" i="3" a="1"/>
  <c r="P162" i="3" a="1"/>
  <c r="C217" i="3" a="1"/>
  <c r="P127" i="3" a="1"/>
  <c r="C222" i="3" a="1"/>
  <c r="X197" i="3" a="1"/>
  <c r="A218" i="3" a="1"/>
  <c r="P134" i="3" a="1"/>
  <c r="Z195" i="3" a="1"/>
  <c r="P50" i="3" a="1"/>
  <c r="AB84" i="3" a="1"/>
  <c r="H92" i="3" a="1"/>
  <c r="AB202" i="3" a="1"/>
  <c r="A34" i="3" a="1"/>
  <c r="V41" i="3" a="1"/>
  <c r="W10" i="3" a="1"/>
  <c r="W215" i="3" a="1"/>
  <c r="F145" i="3" a="1"/>
  <c r="Q80" i="3" a="1"/>
  <c r="R5" i="3" a="1"/>
  <c r="O26" i="3" a="1"/>
  <c r="U25" i="3" a="1"/>
  <c r="D54" i="3" a="1"/>
  <c r="F37" i="3" a="1"/>
  <c r="K150" i="3" a="1"/>
  <c r="N81" i="3" a="1"/>
  <c r="Y214" i="3" a="1"/>
  <c r="C41" i="3" a="1"/>
  <c r="W102" i="3" a="1"/>
  <c r="Q92" i="3" a="1"/>
  <c r="P179" i="3" a="1"/>
  <c r="AD226" i="3" a="1"/>
  <c r="Z15" i="3" a="1"/>
  <c r="V29" i="3" a="1"/>
  <c r="Y47" i="3" a="1"/>
  <c r="L3" i="3" a="1"/>
  <c r="K223" i="3" a="1"/>
  <c r="Z95" i="3" a="1"/>
  <c r="V74" i="3" a="1"/>
  <c r="X143" i="3" a="1"/>
  <c r="B228" i="3" a="1"/>
  <c r="A30" i="3" a="1"/>
  <c r="W112" i="3" a="1"/>
  <c r="Z184" i="3" a="1"/>
  <c r="N101" i="3" a="1"/>
  <c r="N135" i="3" a="1"/>
  <c r="V120" i="3" a="1"/>
  <c r="L167" i="3" a="1"/>
  <c r="E36" i="3" a="1"/>
  <c r="C36" i="3" a="1"/>
  <c r="P58" i="3" a="1"/>
  <c r="T20" i="3" a="1"/>
  <c r="N185" i="3" a="1"/>
  <c r="G26" i="3" a="1"/>
  <c r="U156" i="3" a="1"/>
  <c r="Z218" i="3" a="1"/>
  <c r="P203" i="3" a="1"/>
  <c r="H188" i="3" a="1"/>
  <c r="AA46" i="3" a="1"/>
  <c r="O127" i="3" a="1"/>
  <c r="Y35" i="3" a="1"/>
  <c r="T86" i="3" a="1"/>
  <c r="B235" i="3" a="1"/>
  <c r="R8" i="3" a="1"/>
  <c r="O231" i="3" a="1"/>
  <c r="B8" i="3" a="1"/>
  <c r="J17" i="3" a="1"/>
  <c r="K79" i="3" a="1"/>
  <c r="F76" i="3" a="1"/>
  <c r="T67" i="3" a="1"/>
  <c r="AB225" i="3" a="1"/>
  <c r="Q168" i="3" a="1"/>
  <c r="E167" i="3" a="1"/>
  <c r="C101" i="3" a="1"/>
  <c r="I223" i="3" a="1"/>
  <c r="T38" i="3" a="1"/>
  <c r="Z229" i="3" a="1"/>
  <c r="T126" i="3" a="1"/>
  <c r="T11" i="3" a="1"/>
  <c r="C30" i="3" a="1"/>
  <c r="C79" i="3" a="1"/>
  <c r="K10" i="3" a="1"/>
  <c r="Y44" i="3" a="1"/>
  <c r="A65" i="3" a="1"/>
  <c r="S51" i="3" a="1"/>
  <c r="W50" i="3" a="1"/>
  <c r="D175" i="3" a="1"/>
  <c r="R102" i="3" a="1"/>
  <c r="J95" i="3" a="1"/>
  <c r="M53" i="3" a="1"/>
  <c r="L224" i="3" a="1"/>
  <c r="T186" i="3" a="1"/>
  <c r="R122" i="3" a="1"/>
  <c r="G199" i="3" a="1"/>
  <c r="S187" i="3" a="1"/>
  <c r="Z78" i="3" a="1"/>
  <c r="AC139" i="3" a="1"/>
  <c r="V163" i="3" a="1"/>
  <c r="K3" i="3" a="1"/>
  <c r="I186" i="3" a="1"/>
  <c r="E155" i="3" a="1"/>
  <c r="X37" i="3" a="1"/>
  <c r="AD128" i="3" a="1"/>
  <c r="O6" i="3" a="1"/>
  <c r="N129" i="3" a="1"/>
  <c r="O3" i="3" a="1"/>
  <c r="P215" i="3" a="1"/>
  <c r="P42" i="3" a="1"/>
  <c r="X209" i="3" a="1"/>
  <c r="P138" i="3" a="1"/>
  <c r="O10" i="3" a="1"/>
  <c r="AB4" i="3" a="1"/>
  <c r="G72" i="3" a="1"/>
  <c r="E2" i="2" a="1"/>
  <c r="L236" i="3" a="1"/>
  <c r="AB34" i="3" a="1"/>
  <c r="U154" i="3" a="1"/>
  <c r="Y79" i="3" a="1"/>
  <c r="M229" i="3" a="1"/>
  <c r="L219" i="3" a="1"/>
  <c r="S26" i="3" a="1"/>
  <c r="F149" i="3" a="1"/>
  <c r="N66" i="3" a="1"/>
  <c r="J157" i="3" a="1"/>
  <c r="I6" i="3" a="1"/>
  <c r="R125" i="3" a="1"/>
  <c r="AA168" i="3" a="1"/>
  <c r="W46" i="3" a="1"/>
  <c r="R242" i="3" a="1"/>
  <c r="Y242" i="3" a="1"/>
  <c r="AA116" i="3" a="1"/>
  <c r="W121" i="3" a="1"/>
  <c r="Z207" i="3" a="1"/>
  <c r="A117" i="3" a="1"/>
  <c r="I35" i="3" a="1"/>
  <c r="A132" i="3" a="1"/>
  <c r="Q188" i="3" a="1"/>
  <c r="Q233" i="3" a="1"/>
  <c r="O33" i="3" a="1"/>
  <c r="A67" i="3" a="1"/>
  <c r="H230" i="3" a="1"/>
  <c r="B5" i="3" a="1"/>
  <c r="AB148" i="3" a="1"/>
  <c r="G221" i="3" a="1"/>
  <c r="E46" i="3" a="1"/>
  <c r="L154" i="3" a="1"/>
  <c r="Z212" i="3" a="1"/>
  <c r="Q133" i="3" a="1"/>
  <c r="U33" i="3" a="1"/>
  <c r="S215" i="3" a="1"/>
  <c r="Z225" i="3" a="1"/>
  <c r="L64" i="3" a="1"/>
  <c r="Y46" i="3" a="1"/>
  <c r="P4" i="3" a="1"/>
  <c r="AB85" i="3" a="1"/>
  <c r="M35" i="3" a="1"/>
  <c r="AA99" i="3" a="1"/>
  <c r="C246" i="3" a="1"/>
  <c r="Z68" i="3" a="1"/>
  <c r="E140" i="3" a="1"/>
  <c r="J193" i="3" a="1"/>
  <c r="J106" i="3" a="1"/>
  <c r="H248" i="3" a="1"/>
  <c r="R97" i="3" a="1"/>
  <c r="M223" i="3" a="1"/>
  <c r="C129" i="3" a="1"/>
  <c r="Y42" i="3" a="1"/>
  <c r="R205" i="3" a="1"/>
  <c r="B127" i="3" a="1"/>
  <c r="C63" i="3" a="1"/>
  <c r="C48" i="3" a="1"/>
  <c r="U95" i="3" a="1"/>
  <c r="N100" i="3" a="1"/>
  <c r="R81" i="3" a="1"/>
  <c r="D55" i="3" a="1"/>
  <c r="L35" i="3" a="1"/>
  <c r="AD78" i="3" a="1"/>
  <c r="B204" i="3" a="1"/>
  <c r="F120" i="3" a="1"/>
  <c r="D251" i="3" a="1"/>
  <c r="J19" i="3" a="1"/>
  <c r="S196" i="3" a="1"/>
  <c r="U40" i="3" a="1"/>
  <c r="H159" i="3" a="1"/>
  <c r="R123" i="3" a="1"/>
  <c r="Z160" i="3" a="1"/>
  <c r="I204" i="3" a="1"/>
  <c r="L56" i="3" a="1"/>
  <c r="E183" i="3" a="1"/>
  <c r="C146" i="3" a="1"/>
  <c r="V191" i="3" a="1"/>
  <c r="Q59" i="3" a="1"/>
  <c r="S104" i="3" a="1"/>
  <c r="X74" i="3" a="1"/>
  <c r="H42" i="3" a="1"/>
  <c r="X170" i="3" a="1"/>
  <c r="S170" i="3" a="1"/>
  <c r="N241" i="3" a="1"/>
  <c r="Q56" i="3" a="1"/>
  <c r="AB5" i="3" a="1"/>
  <c r="H63" i="3" a="1"/>
  <c r="C142" i="3" a="1"/>
  <c r="M20" i="3" a="1"/>
  <c r="AD35" i="3" a="1"/>
  <c r="P124" i="3" a="1"/>
  <c r="L241" i="3" a="1"/>
  <c r="L88" i="3" a="1"/>
  <c r="X68" i="3" a="1"/>
  <c r="M247" i="3" a="1"/>
  <c r="G250" i="3" a="1"/>
  <c r="U250" i="3" a="1"/>
  <c r="N248" i="3" a="1"/>
  <c r="Q201" i="3" a="1"/>
  <c r="T55" i="3" a="1"/>
  <c r="W56" i="3" a="1"/>
  <c r="W226" i="3" a="1"/>
  <c r="P126" i="3" a="1"/>
  <c r="R134" i="3" a="1"/>
  <c r="N16" i="3" a="1"/>
  <c r="B191" i="3" a="1"/>
  <c r="AB177" i="3" a="1"/>
  <c r="B131" i="3" a="1"/>
  <c r="C96" i="3" a="1"/>
  <c r="V98" i="3" a="1"/>
  <c r="I172" i="3" a="1"/>
  <c r="Q77" i="3" a="1"/>
  <c r="G60" i="3" a="1"/>
  <c r="AA94" i="3" a="1"/>
  <c r="M51" i="3" a="1"/>
  <c r="E127" i="3" a="1"/>
  <c r="D8" i="3" a="1"/>
  <c r="G96" i="3" a="1"/>
  <c r="Q8" i="3" a="1"/>
  <c r="L179" i="3" a="1"/>
  <c r="AC147" i="3" a="1"/>
  <c r="L87" i="3" a="1"/>
  <c r="E12" i="3" a="1"/>
  <c r="E75" i="3" a="1"/>
  <c r="M108" i="3" a="1"/>
  <c r="R65" i="3" a="1"/>
  <c r="R113" i="3" a="1"/>
  <c r="X24" i="3" a="1"/>
  <c r="W179" i="3" a="1"/>
  <c r="J173" i="3" a="1"/>
  <c r="T8" i="3" a="1"/>
  <c r="V172" i="3" a="1"/>
  <c r="K35" i="3" a="1"/>
  <c r="D92" i="3" a="1"/>
  <c r="K153" i="3" a="1"/>
  <c r="J228" i="3" a="1"/>
  <c r="X177" i="3" a="1"/>
  <c r="H57" i="3" a="1"/>
  <c r="P232" i="3" a="1"/>
  <c r="X112" i="3" a="1"/>
  <c r="X35" i="3" a="1"/>
  <c r="T25" i="3" a="1"/>
  <c r="L25" i="3" a="1"/>
  <c r="I252" i="3" a="1"/>
  <c r="Q155" i="3" a="1"/>
  <c r="W58" i="3" a="1"/>
  <c r="X241" i="3" a="1"/>
  <c r="M232" i="3" a="1"/>
  <c r="Z54" i="3" a="1"/>
  <c r="P116" i="3" a="1"/>
  <c r="E134" i="3" a="1"/>
  <c r="G203" i="3" a="1"/>
  <c r="O13" i="3" a="1"/>
  <c r="AA85" i="3" a="1"/>
  <c r="F156" i="3" a="1"/>
  <c r="AB95" i="3" a="1"/>
  <c r="AB42" i="3" a="1"/>
  <c r="L220" i="3" a="1"/>
  <c r="Y85" i="3" a="1"/>
  <c r="Y175" i="3" a="1"/>
  <c r="I101" i="3" a="1"/>
  <c r="D10" i="3" a="1"/>
  <c r="D7" i="3" a="1"/>
  <c r="D13" i="3" a="1"/>
  <c r="D16" i="3" a="1"/>
  <c r="D11" i="3" a="1"/>
  <c r="D12" i="3" a="1"/>
  <c r="D5" i="3" a="1"/>
  <c r="D9" i="3" a="1"/>
  <c r="D6" i="3" a="1"/>
  <c r="D3" i="3" a="1"/>
  <c r="D15" i="3" a="1"/>
  <c r="O14" i="3" a="1"/>
  <c r="O5" i="3" a="1"/>
  <c r="O15" i="3" a="1"/>
  <c r="O7" i="3" a="1"/>
  <c r="O16" i="3" a="1"/>
  <c r="O9" i="3" a="1"/>
  <c r="O8" i="3" a="1"/>
  <c r="O4" i="3" a="1"/>
  <c r="O12" i="3" a="1"/>
  <c r="O11" i="3" a="1"/>
  <c r="E15" i="3" a="1"/>
  <c r="E9" i="3" a="1"/>
  <c r="E8" i="3" a="1"/>
  <c r="E7" i="3" a="1"/>
  <c r="E11" i="3" a="1"/>
  <c r="E14" i="3" a="1"/>
  <c r="E10" i="3" a="1"/>
  <c r="E13" i="3" a="1"/>
  <c r="E4" i="3" a="1"/>
  <c r="E6" i="3" a="1"/>
  <c r="E5" i="3" a="1"/>
  <c r="E16" i="3" a="1"/>
  <c r="E3" i="3" a="1"/>
  <c r="E3" i="3" l="1"/>
  <c r="E16" i="3"/>
  <c r="E5" i="3"/>
  <c r="E6" i="3"/>
  <c r="E4" i="3"/>
  <c r="E13" i="3"/>
  <c r="E10" i="3"/>
  <c r="E14" i="3"/>
  <c r="E11" i="3"/>
  <c r="E7" i="3"/>
  <c r="E8" i="3"/>
  <c r="E9" i="3"/>
  <c r="E15" i="3"/>
  <c r="O11" i="3"/>
  <c r="O12" i="3"/>
  <c r="O4" i="3"/>
  <c r="O8" i="3"/>
  <c r="O9" i="3"/>
  <c r="O16" i="3"/>
  <c r="O7" i="3"/>
  <c r="O15" i="3"/>
  <c r="O5" i="3"/>
  <c r="O14" i="3"/>
  <c r="D15" i="3"/>
  <c r="D3" i="3"/>
  <c r="D6" i="3"/>
  <c r="D9" i="3"/>
  <c r="D5" i="3"/>
  <c r="D12" i="3"/>
  <c r="D11" i="3"/>
  <c r="D16" i="3"/>
  <c r="D13" i="3"/>
  <c r="D7" i="3"/>
  <c r="D10" i="3"/>
  <c r="I101" i="3"/>
  <c r="Y175" i="3"/>
  <c r="Y85" i="3"/>
  <c r="L220" i="3"/>
  <c r="AB42" i="3"/>
  <c r="AB95" i="3"/>
  <c r="F156" i="3"/>
  <c r="AA85" i="3"/>
  <c r="O13" i="3"/>
  <c r="G203" i="3"/>
  <c r="E134" i="3"/>
  <c r="P116" i="3"/>
  <c r="Z54" i="3"/>
  <c r="M232" i="3"/>
  <c r="X241" i="3"/>
  <c r="W58" i="3"/>
  <c r="Q155" i="3"/>
  <c r="I252" i="3"/>
  <c r="L25" i="3"/>
  <c r="T25" i="3"/>
  <c r="X35" i="3"/>
  <c r="X112" i="3"/>
  <c r="P232" i="3"/>
  <c r="H57" i="3"/>
  <c r="X177" i="3"/>
  <c r="J228" i="3"/>
  <c r="K153" i="3"/>
  <c r="D92" i="3"/>
  <c r="K35" i="3"/>
  <c r="V172" i="3"/>
  <c r="T8" i="3"/>
  <c r="J173" i="3"/>
  <c r="W179" i="3"/>
  <c r="X24" i="3"/>
  <c r="R113" i="3"/>
  <c r="R65" i="3"/>
  <c r="M108" i="3"/>
  <c r="E75" i="3"/>
  <c r="E12" i="3"/>
  <c r="L87" i="3"/>
  <c r="AC147" i="3"/>
  <c r="L179" i="3"/>
  <c r="Q8" i="3"/>
  <c r="G96" i="3"/>
  <c r="D8" i="3"/>
  <c r="E127" i="3"/>
  <c r="M51" i="3"/>
  <c r="AA94" i="3"/>
  <c r="G60" i="3"/>
  <c r="Q77" i="3"/>
  <c r="I172" i="3"/>
  <c r="V98" i="3"/>
  <c r="C96" i="3"/>
  <c r="B131" i="3"/>
  <c r="AB177" i="3"/>
  <c r="B191" i="3"/>
  <c r="N16" i="3"/>
  <c r="R134" i="3"/>
  <c r="P126" i="3"/>
  <c r="W226" i="3"/>
  <c r="W56" i="3"/>
  <c r="T55" i="3"/>
  <c r="Q201" i="3"/>
  <c r="N248" i="3"/>
  <c r="U250" i="3"/>
  <c r="G250" i="3"/>
  <c r="M247" i="3"/>
  <c r="X68" i="3"/>
  <c r="L88" i="3"/>
  <c r="L241" i="3"/>
  <c r="P124" i="3"/>
  <c r="AD35" i="3"/>
  <c r="M20" i="3"/>
  <c r="C142" i="3"/>
  <c r="H63" i="3"/>
  <c r="AB5" i="3"/>
  <c r="Q56" i="3"/>
  <c r="N241" i="3"/>
  <c r="S170" i="3"/>
  <c r="X170" i="3"/>
  <c r="H42" i="3"/>
  <c r="X74" i="3"/>
  <c r="S104" i="3"/>
  <c r="Q59" i="3"/>
  <c r="V191" i="3"/>
  <c r="C146" i="3"/>
  <c r="E183" i="3"/>
  <c r="L56" i="3"/>
  <c r="I204" i="3"/>
  <c r="Z160" i="3"/>
  <c r="R123" i="3"/>
  <c r="H159" i="3"/>
  <c r="U40" i="3"/>
  <c r="S196" i="3"/>
  <c r="J19" i="3"/>
  <c r="D251" i="3"/>
  <c r="F120" i="3"/>
  <c r="B204" i="3"/>
  <c r="AD78" i="3"/>
  <c r="L35" i="3"/>
  <c r="D55" i="3"/>
  <c r="R81" i="3"/>
  <c r="N100" i="3"/>
  <c r="U95" i="3"/>
  <c r="C48" i="3"/>
  <c r="C63" i="3"/>
  <c r="B127" i="3"/>
  <c r="R205" i="3"/>
  <c r="Y42" i="3"/>
  <c r="C129" i="3"/>
  <c r="M223" i="3"/>
  <c r="R97" i="3"/>
  <c r="H248" i="3"/>
  <c r="J106" i="3"/>
  <c r="J193" i="3"/>
  <c r="E140" i="3"/>
  <c r="Z68" i="3"/>
  <c r="C246" i="3"/>
  <c r="AA99" i="3"/>
  <c r="M35" i="3"/>
  <c r="AB85" i="3"/>
  <c r="P4" i="3"/>
  <c r="Y46" i="3"/>
  <c r="L64" i="3"/>
  <c r="Z225" i="3"/>
  <c r="S215" i="3"/>
  <c r="U33" i="3"/>
  <c r="Q133" i="3"/>
  <c r="Z212" i="3"/>
  <c r="L154" i="3"/>
  <c r="E46" i="3"/>
  <c r="G221" i="3"/>
  <c r="AB148" i="3"/>
  <c r="B5" i="3"/>
  <c r="H230" i="3"/>
  <c r="A67" i="3"/>
  <c r="O33" i="3"/>
  <c r="Q233" i="3"/>
  <c r="Q188" i="3"/>
  <c r="A132" i="3"/>
  <c r="I35" i="3"/>
  <c r="A117" i="3"/>
  <c r="Z207" i="3"/>
  <c r="W121" i="3"/>
  <c r="AA116" i="3"/>
  <c r="Y242" i="3"/>
  <c r="R242" i="3"/>
  <c r="W46" i="3"/>
  <c r="AA168" i="3"/>
  <c r="R125" i="3"/>
  <c r="I6" i="3"/>
  <c r="J157" i="3"/>
  <c r="N66" i="3"/>
  <c r="F149" i="3"/>
  <c r="S26" i="3"/>
  <c r="L219" i="3"/>
  <c r="M229" i="3"/>
  <c r="Y79" i="3"/>
  <c r="U154" i="3"/>
  <c r="AB34" i="3"/>
  <c r="L236" i="3"/>
  <c r="E2" i="2"/>
  <c r="G72" i="3"/>
  <c r="AB4" i="3"/>
  <c r="O10" i="3"/>
  <c r="P138" i="3"/>
  <c r="X209" i="3"/>
  <c r="P42" i="3"/>
  <c r="P215" i="3"/>
  <c r="O3" i="3"/>
  <c r="N129" i="3"/>
  <c r="O6" i="3"/>
  <c r="AD128" i="3"/>
  <c r="X37" i="3"/>
  <c r="E155" i="3"/>
  <c r="I186" i="3"/>
  <c r="K3" i="3"/>
  <c r="V163" i="3"/>
  <c r="AC139" i="3"/>
  <c r="Z78" i="3"/>
  <c r="S187" i="3"/>
  <c r="G199" i="3"/>
  <c r="R122" i="3"/>
  <c r="T186" i="3"/>
  <c r="L224" i="3"/>
  <c r="M53" i="3"/>
  <c r="J95" i="3"/>
  <c r="R102" i="3"/>
  <c r="D175" i="3"/>
  <c r="W50" i="3"/>
  <c r="S51" i="3"/>
  <c r="A65" i="3"/>
  <c r="Y44" i="3"/>
  <c r="K10" i="3"/>
  <c r="C79" i="3"/>
  <c r="C30" i="3"/>
  <c r="T11" i="3"/>
  <c r="T126" i="3"/>
  <c r="Z229" i="3"/>
  <c r="T38" i="3"/>
  <c r="I223" i="3"/>
  <c r="C101" i="3"/>
  <c r="E167" i="3"/>
  <c r="Q168" i="3"/>
  <c r="AB225" i="3"/>
  <c r="T67" i="3"/>
  <c r="F76" i="3"/>
  <c r="K79" i="3"/>
  <c r="J17" i="3"/>
  <c r="B8" i="3"/>
  <c r="O231" i="3"/>
  <c r="R8" i="3"/>
  <c r="B235" i="3"/>
  <c r="T86" i="3"/>
  <c r="Y35" i="3"/>
  <c r="O127" i="3"/>
  <c r="AA46" i="3"/>
  <c r="H188" i="3"/>
  <c r="P203" i="3"/>
  <c r="Z218" i="3"/>
  <c r="U156" i="3"/>
  <c r="G26" i="3"/>
  <c r="N185" i="3"/>
  <c r="T20" i="3"/>
  <c r="P58" i="3"/>
  <c r="C36" i="3"/>
  <c r="E36" i="3"/>
  <c r="L167" i="3"/>
  <c r="V120" i="3"/>
  <c r="N135" i="3"/>
  <c r="N101" i="3"/>
  <c r="Z184" i="3"/>
  <c r="W112" i="3"/>
  <c r="A30" i="3"/>
  <c r="B228" i="3"/>
  <c r="X143" i="3"/>
  <c r="V74" i="3"/>
  <c r="Z95" i="3"/>
  <c r="K223" i="3"/>
  <c r="L3" i="3"/>
  <c r="Y47" i="3"/>
  <c r="V29" i="3"/>
  <c r="Z15" i="3"/>
  <c r="AD226" i="3"/>
  <c r="P179" i="3"/>
  <c r="Q92" i="3"/>
  <c r="W102" i="3"/>
  <c r="C41" i="3"/>
  <c r="Y214" i="3"/>
  <c r="N81" i="3"/>
  <c r="K150" i="3"/>
  <c r="F37" i="3"/>
  <c r="D54" i="3"/>
  <c r="U25" i="3"/>
  <c r="O26" i="3"/>
  <c r="R5" i="3"/>
  <c r="Q80" i="3"/>
  <c r="F145" i="3"/>
  <c r="W215" i="3"/>
  <c r="W10" i="3"/>
  <c r="V41" i="3"/>
  <c r="A34" i="3"/>
  <c r="AB202" i="3"/>
  <c r="H92" i="3"/>
  <c r="AB84" i="3"/>
  <c r="P50" i="3"/>
  <c r="Z195" i="3"/>
  <c r="P134" i="3"/>
  <c r="A218" i="3"/>
  <c r="X197" i="3"/>
  <c r="C222" i="3"/>
  <c r="P127" i="3"/>
  <c r="C217" i="3"/>
  <c r="P162" i="3"/>
  <c r="R83" i="3"/>
  <c r="O101" i="3"/>
  <c r="Y129" i="3"/>
  <c r="O197" i="3"/>
  <c r="R100" i="3"/>
  <c r="E41" i="3"/>
  <c r="A219" i="3"/>
  <c r="AA139" i="3"/>
  <c r="H164" i="3"/>
  <c r="B33" i="3"/>
  <c r="K118" i="3"/>
  <c r="N25" i="3"/>
  <c r="AC130" i="3"/>
  <c r="P183" i="3"/>
  <c r="I135" i="3"/>
  <c r="D14" i="3"/>
  <c r="H89" i="3"/>
  <c r="O2" i="2"/>
  <c r="E120" i="3"/>
  <c r="C170" i="3"/>
  <c r="E153" i="3"/>
  <c r="AD105" i="3"/>
  <c r="R255" i="3"/>
  <c r="R133" i="3"/>
  <c r="C61" i="3"/>
  <c r="D4" i="3"/>
  <c r="AD87" i="3"/>
  <c r="R12" i="3"/>
  <c r="AB172" i="3"/>
  <c r="M226" i="3"/>
  <c r="AB194" i="3"/>
  <c r="X176" i="3"/>
  <c r="O20" i="3"/>
  <c r="P211" i="3"/>
  <c r="F199" i="3"/>
  <c r="S222" i="3"/>
  <c r="J48" i="3"/>
  <c r="Q49" i="3"/>
  <c r="D147" i="3"/>
  <c r="Z127" i="3"/>
  <c r="O75" i="3"/>
  <c r="O66" i="3"/>
  <c r="C67" i="3"/>
  <c r="K148" i="3"/>
  <c r="F71" i="3"/>
  <c r="Q108" i="3"/>
  <c r="I129" i="3"/>
  <c r="W31" i="3"/>
  <c r="L165" i="3"/>
  <c r="G99" i="3"/>
  <c r="B63" i="3"/>
  <c r="Q228" i="3"/>
  <c r="E87" i="3"/>
  <c r="Z88" i="3"/>
  <c r="W40" i="3"/>
  <c r="A71" i="3"/>
  <c r="S202" i="3"/>
  <c r="Q195" i="3"/>
  <c r="T71" i="3"/>
  <c r="R118" i="3"/>
  <c r="V114" i="3"/>
  <c r="S110" i="3"/>
  <c r="M183" i="3"/>
  <c r="Q5" i="3"/>
  <c r="N12" i="3"/>
  <c r="O91" i="3"/>
  <c r="S134" i="3"/>
  <c r="F176" i="3"/>
  <c r="I179" i="3"/>
  <c r="B178" i="3"/>
  <c r="AB228" i="3"/>
  <c r="Q67" i="3"/>
  <c r="S100" i="3"/>
  <c r="B185" i="3"/>
  <c r="B29" i="3"/>
  <c r="C148" i="3"/>
  <c r="L28" i="3"/>
  <c r="R88" i="3"/>
  <c r="J145" i="3"/>
  <c r="B111" i="3"/>
  <c r="P120" i="3"/>
  <c r="C110" i="3"/>
  <c r="Q66" i="3"/>
  <c r="R116" i="3"/>
  <c r="D18" i="3"/>
  <c r="O77" i="3"/>
  <c r="W48" i="3"/>
  <c r="U143" i="3"/>
  <c r="T124" i="3"/>
  <c r="R86" i="3"/>
  <c r="G85" i="3"/>
  <c r="W186" i="3"/>
  <c r="AD239" i="3"/>
  <c r="O244" i="3"/>
  <c r="I134" i="3"/>
  <c r="I154" i="3"/>
  <c r="W166" i="3"/>
  <c r="U178" i="3"/>
  <c r="T222" i="3"/>
  <c r="AB21" i="3"/>
  <c r="A252" i="3"/>
  <c r="H14" i="3"/>
  <c r="S217" i="3"/>
  <c r="J178" i="3"/>
  <c r="T87" i="3"/>
  <c r="X191" i="3"/>
  <c r="AD2" i="3"/>
  <c r="AD46" i="3"/>
  <c r="Y236" i="3"/>
  <c r="Q130" i="3"/>
  <c r="D210" i="3"/>
  <c r="AA22" i="3"/>
  <c r="Z113" i="3"/>
  <c r="N88" i="3"/>
  <c r="Z48" i="3"/>
  <c r="F5" i="3"/>
  <c r="L248" i="3"/>
  <c r="X168" i="3"/>
  <c r="K43" i="3"/>
  <c r="K119" i="3"/>
  <c r="H171" i="3"/>
  <c r="E220" i="3"/>
  <c r="AB163" i="3"/>
  <c r="F114" i="3"/>
  <c r="K64" i="3"/>
  <c r="Q51" i="3"/>
  <c r="S240" i="3"/>
  <c r="U172" i="3"/>
  <c r="T41" i="3"/>
  <c r="Q240" i="3"/>
  <c r="Q83" i="3"/>
  <c r="L243" i="3"/>
  <c r="L29" i="3"/>
  <c r="O17" i="3"/>
  <c r="E97" i="3"/>
  <c r="T61" i="3"/>
  <c r="B115" i="3"/>
  <c r="E19" i="3"/>
  <c r="Y6" i="3"/>
  <c r="I130" i="3"/>
  <c r="V180" i="3"/>
  <c r="X205" i="3"/>
  <c r="W75" i="3"/>
  <c r="R126" i="3"/>
  <c r="B91" i="3"/>
  <c r="U238" i="3"/>
  <c r="P107" i="3"/>
  <c r="N8" i="3"/>
  <c r="N171" i="3"/>
  <c r="K238" i="3"/>
  <c r="N196" i="3"/>
  <c r="R209" i="3"/>
  <c r="U108" i="3"/>
  <c r="O79" i="3"/>
  <c r="G59" i="3"/>
  <c r="E82" i="3"/>
  <c r="B208" i="3"/>
  <c r="H137" i="3"/>
  <c r="F94" i="3"/>
  <c r="AA104" i="3"/>
  <c r="P216" i="3"/>
  <c r="W70" i="3"/>
  <c r="AA45" i="3"/>
  <c r="M107" i="3"/>
  <c r="M255" i="3"/>
  <c r="N214" i="3"/>
  <c r="X8" i="3"/>
  <c r="Z102" i="3"/>
  <c r="U17" i="3"/>
  <c r="E118" i="3"/>
  <c r="M228" i="3"/>
  <c r="W30" i="3"/>
  <c r="AB244" i="3"/>
  <c r="L127" i="3"/>
  <c r="W202" i="3"/>
  <c r="K177" i="3"/>
  <c r="C133" i="3"/>
  <c r="P157" i="3"/>
  <c r="B165" i="3"/>
  <c r="U18" i="3"/>
  <c r="P161" i="3"/>
  <c r="D2" i="2"/>
  <c r="M28" i="3"/>
  <c r="J125" i="3"/>
  <c r="AA253" i="3"/>
  <c r="U59" i="3"/>
  <c r="Y61" i="3"/>
  <c r="K236" i="3"/>
  <c r="Y185" i="3"/>
  <c r="P165" i="3"/>
  <c r="X115" i="3"/>
  <c r="G113" i="3"/>
  <c r="Q69" i="3"/>
  <c r="H232" i="3"/>
  <c r="L201" i="3"/>
  <c r="F34" i="3"/>
  <c r="D24" i="3"/>
  <c r="W152" i="3"/>
  <c r="W99" i="3"/>
  <c r="Q38" i="3"/>
  <c r="Q243" i="3"/>
  <c r="J102" i="3"/>
  <c r="I42" i="3"/>
  <c r="S95" i="3"/>
  <c r="T199" i="3"/>
  <c r="L93" i="3"/>
  <c r="M57" i="3"/>
  <c r="S147" i="3"/>
  <c r="A185" i="3"/>
  <c r="M88" i="3"/>
  <c r="AD103" i="3"/>
  <c r="J91" i="3"/>
  <c r="S117" i="3"/>
  <c r="H20" i="3"/>
  <c r="K206" i="3"/>
  <c r="A169" i="3"/>
  <c r="O18" i="3"/>
  <c r="B106" i="3"/>
  <c r="R176" i="3"/>
  <c r="U228" i="3"/>
  <c r="C47" i="3"/>
  <c r="D112" i="3"/>
  <c r="D93" i="3"/>
  <c r="K8" i="3"/>
  <c r="B114" i="3"/>
  <c r="W164" i="3"/>
  <c r="T165" i="3"/>
  <c r="F107" i="3"/>
  <c r="I119" i="3"/>
  <c r="X106" i="3"/>
  <c r="H51" i="3"/>
  <c r="J137" i="3"/>
  <c r="A10" i="3"/>
  <c r="N99" i="3"/>
  <c r="Z230" i="3"/>
  <c r="U212" i="3"/>
  <c r="K58" i="3"/>
  <c r="T145" i="3"/>
  <c r="AD7" i="3"/>
  <c r="M152" i="3"/>
  <c r="E176" i="3"/>
  <c r="D84" i="3"/>
  <c r="J114" i="3"/>
  <c r="F220" i="3"/>
  <c r="A36" i="3"/>
  <c r="AB155" i="3"/>
  <c r="A138" i="3"/>
  <c r="M156" i="3"/>
  <c r="C118" i="3"/>
  <c r="Z183" i="3"/>
  <c r="K22" i="3"/>
  <c r="H5" i="3"/>
  <c r="V117" i="3"/>
  <c r="R55" i="3"/>
  <c r="N169" i="3"/>
  <c r="T193" i="3"/>
  <c r="I103" i="3"/>
  <c r="I142" i="3"/>
  <c r="H207" i="3"/>
  <c r="T12" i="3"/>
  <c r="C45" i="3"/>
  <c r="A115" i="3"/>
  <c r="U68" i="3"/>
  <c r="P11" i="3"/>
  <c r="AB103" i="3"/>
  <c r="L130" i="3"/>
  <c r="R66" i="3"/>
  <c r="A7" i="3"/>
  <c r="R57" i="3"/>
  <c r="L159" i="3"/>
  <c r="J132" i="3"/>
  <c r="AD136" i="3"/>
  <c r="X97" i="3"/>
  <c r="B108" i="3"/>
  <c r="H128" i="3"/>
  <c r="AC249" i="3"/>
  <c r="S78" i="3"/>
  <c r="G214" i="3"/>
  <c r="AC209" i="3"/>
  <c r="Y94" i="3"/>
  <c r="Q106" i="3"/>
  <c r="D22" i="3"/>
  <c r="P194" i="3"/>
  <c r="U104" i="3"/>
  <c r="Y141" i="3"/>
  <c r="Q55" i="3"/>
  <c r="V44" i="3"/>
  <c r="O179" i="3"/>
  <c r="W105" i="3"/>
  <c r="O44" i="3"/>
  <c r="N145" i="3"/>
  <c r="P95" i="3"/>
  <c r="E133" i="3"/>
  <c r="J11" i="3"/>
  <c r="F221" i="3"/>
  <c r="G112" i="3"/>
  <c r="F216" i="3"/>
  <c r="U21" i="3"/>
  <c r="AB66" i="3"/>
  <c r="H85" i="3"/>
  <c r="U130" i="3"/>
  <c r="K59" i="3"/>
  <c r="J52" i="3"/>
  <c r="E98" i="3"/>
  <c r="B188" i="3"/>
  <c r="S39" i="3"/>
  <c r="I78" i="3"/>
  <c r="E201" i="3"/>
  <c r="E20" i="3"/>
  <c r="X159" i="3"/>
  <c r="V214" i="3"/>
  <c r="T73" i="3"/>
  <c r="U93" i="3"/>
  <c r="F254" i="3"/>
  <c r="B75" i="3"/>
  <c r="M54" i="3"/>
  <c r="N63" i="3"/>
  <c r="N83" i="3"/>
  <c r="X148" i="3"/>
  <c r="J183" i="3"/>
  <c r="V62" i="3"/>
  <c r="Q143" i="3"/>
  <c r="D150" i="3"/>
  <c r="P196" i="3"/>
  <c r="AA82" i="3"/>
  <c r="L121" i="3"/>
  <c r="P72" i="3"/>
  <c r="J227" i="3"/>
  <c r="A147" i="3"/>
  <c r="AA131" i="3"/>
  <c r="E99" i="3"/>
  <c r="AD253" i="3"/>
  <c r="E157" i="3"/>
  <c r="T138" i="3"/>
  <c r="Z169" i="3"/>
  <c r="R6" i="3"/>
  <c r="W98" i="3"/>
  <c r="Z128" i="3"/>
  <c r="W214" i="3"/>
  <c r="H237" i="3"/>
  <c r="I232" i="3"/>
  <c r="AB130" i="3"/>
  <c r="I181" i="3"/>
  <c r="M19" i="3"/>
  <c r="W162" i="3"/>
  <c r="V195" i="3"/>
  <c r="R9" i="3"/>
  <c r="AB235" i="3"/>
  <c r="T156" i="3"/>
  <c r="E117" i="3"/>
  <c r="X113" i="3"/>
  <c r="AA105" i="3"/>
  <c r="A70" i="3"/>
  <c r="P47" i="3"/>
  <c r="A91" i="3"/>
  <c r="E188" i="3"/>
  <c r="T104" i="3"/>
  <c r="AB247" i="3"/>
  <c r="AD73" i="3"/>
  <c r="B38" i="3"/>
  <c r="AC170" i="3"/>
  <c r="W244" i="3"/>
  <c r="S38" i="3"/>
  <c r="Q196" i="3"/>
  <c r="A181" i="3"/>
  <c r="T231" i="3"/>
  <c r="B216" i="3"/>
  <c r="X128" i="3"/>
  <c r="Z140" i="3"/>
  <c r="K111" i="3"/>
  <c r="G35" i="3"/>
  <c r="B50" i="3"/>
  <c r="B6" i="3"/>
  <c r="U137" i="3"/>
  <c r="I215" i="3"/>
  <c r="B74" i="3"/>
  <c r="C14" i="3"/>
  <c r="N17" i="3"/>
  <c r="AB253" i="3"/>
  <c r="B220" i="3"/>
  <c r="M97" i="3"/>
  <c r="V175" i="3"/>
  <c r="B152" i="3"/>
  <c r="D167" i="3"/>
  <c r="D99" i="3"/>
  <c r="AA38" i="3"/>
  <c r="C95" i="3"/>
  <c r="J212" i="3"/>
  <c r="J166" i="3"/>
  <c r="L6" i="3"/>
  <c r="J174" i="3"/>
  <c r="U214" i="3"/>
  <c r="Z28" i="3"/>
  <c r="Z216" i="3"/>
  <c r="H178" i="3"/>
  <c r="I227" i="3"/>
  <c r="L46" i="3"/>
  <c r="G107" i="3"/>
  <c r="AA208" i="3"/>
  <c r="T59" i="3"/>
  <c r="G205" i="3"/>
  <c r="X198" i="3"/>
  <c r="X52" i="3"/>
  <c r="D115" i="3"/>
  <c r="S15" i="3"/>
  <c r="D207" i="3"/>
  <c r="J248" i="3"/>
  <c r="F180" i="3"/>
  <c r="C9" i="3"/>
  <c r="AA77" i="3"/>
  <c r="AB125" i="3"/>
  <c r="Z209" i="3"/>
  <c r="Q103" i="3"/>
  <c r="F234" i="3"/>
  <c r="H111" i="3"/>
  <c r="E111" i="3"/>
  <c r="Q112" i="3"/>
  <c r="D32" i="3"/>
  <c r="AA138" i="3"/>
  <c r="K174" i="3"/>
  <c r="Z84" i="3"/>
  <c r="S116" i="3"/>
  <c r="K11" i="3"/>
  <c r="D104" i="3"/>
  <c r="R124" i="3"/>
  <c r="E62" i="3"/>
  <c r="L84" i="3"/>
  <c r="M133" i="3"/>
  <c r="R44" i="3"/>
  <c r="I207" i="3"/>
  <c r="O54" i="3"/>
  <c r="F22" i="3"/>
  <c r="R247" i="3"/>
  <c r="AB245" i="3"/>
  <c r="X252" i="3"/>
  <c r="F130" i="3"/>
  <c r="B227" i="3"/>
  <c r="M124" i="3"/>
  <c r="AA20" i="3"/>
  <c r="T48" i="3"/>
  <c r="T107" i="3"/>
  <c r="G198" i="3"/>
  <c r="G69" i="3"/>
  <c r="U125" i="3"/>
  <c r="X65" i="3"/>
  <c r="AA121" i="3"/>
  <c r="P243" i="3"/>
  <c r="I36" i="3"/>
  <c r="S84" i="3"/>
  <c r="V138" i="3"/>
  <c r="AC74" i="3"/>
  <c r="T191" i="3"/>
  <c r="F20" i="3"/>
  <c r="I95" i="3"/>
  <c r="G38" i="3"/>
  <c r="X223" i="3"/>
  <c r="W88" i="3"/>
  <c r="Z116" i="3"/>
  <c r="G119" i="3"/>
  <c r="V228" i="3"/>
  <c r="T247" i="3"/>
  <c r="S148" i="3"/>
  <c r="A109" i="3"/>
  <c r="V177" i="3"/>
  <c r="W26" i="3"/>
  <c r="I114" i="3"/>
  <c r="Z105" i="3"/>
  <c r="O21" i="3"/>
  <c r="G131" i="3"/>
  <c r="I161" i="3"/>
  <c r="L108" i="3"/>
  <c r="N104" i="3"/>
  <c r="M25" i="3"/>
  <c r="A3" i="3"/>
  <c r="AB102" i="3"/>
  <c r="Q230" i="3"/>
  <c r="AB80" i="3"/>
  <c r="T3" i="3"/>
  <c r="C77" i="3"/>
  <c r="U2" i="3"/>
  <c r="X15" i="3"/>
  <c r="O201" i="3"/>
  <c r="C220" i="3"/>
  <c r="H236" i="3"/>
  <c r="J239" i="3"/>
  <c r="P117" i="3"/>
  <c r="U223" i="3"/>
  <c r="AB243" i="3"/>
  <c r="A48" i="3"/>
  <c r="M182" i="3"/>
  <c r="N250" i="3"/>
  <c r="I45" i="3"/>
  <c r="Z155" i="3"/>
  <c r="S44" i="3"/>
  <c r="I178" i="3"/>
  <c r="R130" i="3"/>
  <c r="U69" i="3"/>
  <c r="D157" i="3"/>
  <c r="R76" i="3"/>
  <c r="T22" i="3"/>
  <c r="Q90" i="3"/>
  <c r="V229" i="3"/>
  <c r="O52" i="3"/>
  <c r="T80" i="3"/>
  <c r="C42" i="3"/>
  <c r="Z187" i="3"/>
  <c r="G158" i="3"/>
  <c r="O224" i="3"/>
  <c r="AB236" i="3"/>
  <c r="E93" i="3"/>
  <c r="H110" i="3"/>
  <c r="W227" i="3"/>
  <c r="V94" i="3"/>
  <c r="S60" i="3"/>
  <c r="AB248" i="3"/>
  <c r="W248" i="3"/>
  <c r="E25" i="3"/>
  <c r="AB25" i="3"/>
  <c r="O250" i="3"/>
  <c r="AB58" i="3"/>
  <c r="H189" i="3"/>
  <c r="R80" i="3"/>
  <c r="C22" i="3"/>
  <c r="L63" i="3"/>
  <c r="H31" i="3"/>
  <c r="V203" i="3"/>
  <c r="Q193" i="3"/>
  <c r="F58" i="3"/>
  <c r="S153" i="3"/>
  <c r="T223" i="3"/>
  <c r="Z100" i="3"/>
  <c r="M191" i="3"/>
  <c r="U245" i="3"/>
  <c r="X70" i="3"/>
  <c r="F224" i="3"/>
  <c r="Y205" i="3"/>
  <c r="AB15" i="3"/>
  <c r="AA157" i="3"/>
  <c r="U20" i="3"/>
  <c r="H66" i="3"/>
  <c r="F121" i="3"/>
  <c r="I87" i="3"/>
  <c r="M243" i="3"/>
  <c r="L118" i="3"/>
  <c r="AB201" i="3"/>
  <c r="F109" i="3"/>
  <c r="AD249" i="3"/>
  <c r="W229" i="3"/>
  <c r="R13" i="3"/>
  <c r="Z202" i="3"/>
  <c r="N238" i="3"/>
  <c r="M244" i="3"/>
  <c r="R146" i="3"/>
  <c r="P172" i="3"/>
  <c r="O46" i="3"/>
  <c r="M123" i="3"/>
  <c r="D191" i="3"/>
  <c r="M15" i="3"/>
  <c r="H106" i="3"/>
  <c r="Q174" i="3"/>
  <c r="Q102" i="3"/>
  <c r="F146" i="3"/>
  <c r="Z222" i="3"/>
  <c r="B142" i="3"/>
  <c r="F171" i="3"/>
  <c r="R21" i="3"/>
  <c r="P128" i="3"/>
  <c r="E29" i="3"/>
  <c r="AB166" i="3"/>
  <c r="O24" i="3"/>
  <c r="E132" i="3"/>
  <c r="N53" i="3"/>
  <c r="I189" i="3"/>
  <c r="AA63" i="3"/>
  <c r="P35" i="3"/>
  <c r="AB129" i="3"/>
  <c r="G5" i="3"/>
  <c r="X200" i="3"/>
  <c r="H91" i="3"/>
  <c r="J243" i="3"/>
  <c r="Q165" i="3"/>
  <c r="M125" i="3"/>
  <c r="G191" i="3"/>
  <c r="E199" i="3"/>
  <c r="O139" i="3"/>
  <c r="O31" i="3"/>
  <c r="A245" i="3"/>
  <c r="N102" i="3"/>
  <c r="AD42" i="3"/>
  <c r="F102" i="3"/>
  <c r="L71" i="3"/>
  <c r="D103" i="3"/>
  <c r="A184" i="3"/>
  <c r="X10" i="3"/>
  <c r="V157" i="3"/>
  <c r="W5" i="3"/>
  <c r="M119" i="3"/>
  <c r="G232" i="3"/>
  <c r="F65" i="3"/>
  <c r="I92" i="3"/>
  <c r="R249" i="3"/>
  <c r="AC224" i="3"/>
  <c r="S152" i="3"/>
  <c r="O114" i="3"/>
  <c r="C171" i="3"/>
  <c r="L195" i="3"/>
  <c r="I133" i="3"/>
  <c r="D203" i="3"/>
  <c r="C25" i="3"/>
  <c r="I166" i="3"/>
  <c r="L211" i="3"/>
  <c r="F19" i="3"/>
  <c r="V3" i="3"/>
  <c r="AA42" i="3"/>
  <c r="W167" i="3"/>
  <c r="T62" i="3"/>
  <c r="H217" i="3"/>
  <c r="J119" i="3"/>
  <c r="Q152" i="3"/>
  <c r="F47" i="3"/>
  <c r="D47" i="3"/>
  <c r="J75" i="3"/>
  <c r="C127" i="3"/>
  <c r="B138" i="3"/>
  <c r="Q252" i="3"/>
  <c r="P98" i="3"/>
  <c r="E115" i="3"/>
  <c r="U73" i="3"/>
  <c r="E59" i="3"/>
  <c r="Z73" i="3"/>
  <c r="AB173" i="3"/>
  <c r="B174" i="3"/>
  <c r="I197" i="3"/>
  <c r="M207" i="3"/>
  <c r="P153" i="3"/>
  <c r="A253" i="3"/>
  <c r="E217" i="3"/>
  <c r="Z194" i="3"/>
  <c r="AD94" i="3"/>
  <c r="AB33" i="3"/>
  <c r="R174" i="3"/>
  <c r="W141" i="3"/>
  <c r="I70" i="3"/>
  <c r="G162" i="3"/>
  <c r="L253" i="3"/>
  <c r="G150" i="3"/>
  <c r="F235" i="3"/>
  <c r="D42" i="3"/>
  <c r="S11" i="3"/>
  <c r="T246" i="3"/>
  <c r="D171" i="3"/>
  <c r="A39" i="3"/>
  <c r="P61" i="3"/>
  <c r="AD22" i="3"/>
  <c r="M49" i="3"/>
  <c r="AC49" i="3"/>
  <c r="Z97" i="3"/>
  <c r="B11" i="3"/>
  <c r="R250" i="3"/>
  <c r="V68" i="3"/>
  <c r="AB98" i="3"/>
  <c r="K200" i="3"/>
  <c r="AD79" i="3"/>
  <c r="M67" i="3"/>
  <c r="X54" i="3"/>
  <c r="H101" i="3"/>
  <c r="C33" i="3"/>
  <c r="R199" i="3"/>
  <c r="W119" i="3"/>
  <c r="G228" i="3"/>
  <c r="H194" i="3"/>
  <c r="N59" i="3"/>
  <c r="M118" i="3"/>
  <c r="C215" i="3"/>
  <c r="X181" i="3"/>
  <c r="A78" i="3"/>
  <c r="F52" i="3"/>
  <c r="K56" i="3"/>
  <c r="Y43" i="3"/>
  <c r="U113" i="3"/>
  <c r="F26" i="3"/>
  <c r="Y34" i="3"/>
  <c r="L114" i="3"/>
  <c r="I231" i="3"/>
  <c r="P148" i="3"/>
  <c r="W236" i="3"/>
  <c r="P193" i="3"/>
  <c r="X227" i="3"/>
  <c r="G187" i="3"/>
  <c r="Y176" i="3"/>
  <c r="H151" i="3"/>
  <c r="B25" i="3"/>
  <c r="O90" i="3"/>
  <c r="C212" i="3"/>
  <c r="R101" i="3"/>
  <c r="L194" i="3"/>
  <c r="B173" i="3"/>
  <c r="D98" i="3"/>
  <c r="A140" i="3"/>
  <c r="Q207" i="3"/>
  <c r="L13" i="3"/>
  <c r="B168" i="3"/>
  <c r="X2" i="3"/>
  <c r="X248" i="3"/>
  <c r="P184" i="3"/>
  <c r="K229" i="3"/>
  <c r="C55" i="3"/>
  <c r="F31" i="3"/>
  <c r="Z135" i="3"/>
  <c r="D215" i="3"/>
  <c r="AC63" i="3"/>
  <c r="Y181" i="3"/>
  <c r="R107" i="3"/>
  <c r="V107" i="3"/>
  <c r="C244" i="3"/>
  <c r="E21" i="3"/>
  <c r="J233" i="3"/>
  <c r="AD36" i="3"/>
  <c r="U171" i="3"/>
  <c r="S225" i="3"/>
  <c r="T194" i="3"/>
  <c r="D66" i="3"/>
  <c r="B24" i="3"/>
  <c r="B192" i="3"/>
  <c r="R3" i="3"/>
  <c r="U209" i="3"/>
  <c r="A228" i="3"/>
  <c r="G27" i="3"/>
  <c r="G134" i="3"/>
  <c r="T76" i="3"/>
  <c r="L33" i="3"/>
  <c r="Z62" i="3"/>
  <c r="H77" i="3"/>
  <c r="Q7" i="3"/>
  <c r="X218" i="3"/>
  <c r="V198" i="3"/>
  <c r="W80" i="3"/>
  <c r="O36" i="3"/>
  <c r="AD158" i="3"/>
  <c r="E230" i="3"/>
  <c r="F78" i="3"/>
  <c r="AD231" i="3"/>
  <c r="L247" i="3"/>
  <c r="W73" i="3"/>
  <c r="E84" i="3"/>
  <c r="T140" i="3"/>
  <c r="B16" i="3"/>
  <c r="N128" i="3"/>
  <c r="K90" i="3"/>
  <c r="AA228" i="3"/>
  <c r="E105" i="3"/>
  <c r="X193" i="3"/>
  <c r="W203" i="3"/>
  <c r="C74" i="3"/>
  <c r="S254" i="3"/>
  <c r="B36" i="3"/>
  <c r="V185" i="3"/>
  <c r="S125" i="3"/>
  <c r="R132" i="3"/>
  <c r="A173" i="3"/>
  <c r="K100" i="3"/>
  <c r="AA6" i="3"/>
  <c r="H53" i="3"/>
  <c r="Y5" i="3"/>
  <c r="Z123" i="3"/>
  <c r="F178" i="3"/>
  <c r="U103" i="3"/>
  <c r="I122" i="3"/>
  <c r="B98" i="3"/>
  <c r="AC140" i="3"/>
  <c r="AD188" i="3"/>
  <c r="K218" i="3"/>
  <c r="M170" i="3"/>
  <c r="H224" i="3"/>
  <c r="O99" i="3"/>
  <c r="Z72" i="3"/>
  <c r="Q13" i="3"/>
  <c r="K132" i="3"/>
  <c r="B89" i="3"/>
  <c r="P108" i="3"/>
  <c r="AD112" i="3"/>
  <c r="AC205" i="3"/>
  <c r="O233" i="3"/>
  <c r="L178" i="3"/>
  <c r="J88" i="3"/>
  <c r="B246" i="3"/>
  <c r="S163" i="3"/>
  <c r="S246" i="3"/>
  <c r="C243" i="3"/>
  <c r="G172" i="3"/>
  <c r="D26" i="3"/>
  <c r="C32" i="3"/>
  <c r="A154" i="3"/>
  <c r="U31" i="3"/>
  <c r="H34" i="3"/>
  <c r="G84" i="3"/>
  <c r="I11" i="3"/>
  <c r="C62" i="3"/>
  <c r="AC113" i="3"/>
  <c r="W125" i="3"/>
  <c r="K39" i="3"/>
  <c r="F155" i="3"/>
  <c r="M11" i="3"/>
  <c r="H121" i="3"/>
  <c r="K204" i="3"/>
  <c r="V64" i="3"/>
  <c r="M55" i="3"/>
  <c r="G56" i="3"/>
  <c r="S29" i="3"/>
  <c r="S242" i="3"/>
  <c r="F77" i="3"/>
  <c r="L79" i="3"/>
  <c r="A227" i="3"/>
  <c r="X173" i="3"/>
  <c r="I24" i="3"/>
  <c r="U79" i="3"/>
  <c r="D65" i="3"/>
  <c r="AB40" i="3"/>
  <c r="D31" i="3"/>
  <c r="A72" i="3"/>
  <c r="H241" i="3"/>
  <c r="Q116" i="3"/>
  <c r="AB19" i="3"/>
  <c r="AA182" i="3"/>
  <c r="Z91" i="3"/>
  <c r="Q159" i="3"/>
  <c r="U106" i="3"/>
  <c r="U139" i="3"/>
  <c r="J97" i="3"/>
  <c r="O117" i="3"/>
  <c r="Z107" i="3"/>
  <c r="G209" i="3"/>
  <c r="H27" i="3"/>
  <c r="Y69" i="3"/>
  <c r="N236" i="3"/>
  <c r="E79" i="3"/>
  <c r="AC54" i="3"/>
  <c r="Y113" i="3"/>
  <c r="AB190" i="3"/>
  <c r="K98" i="3"/>
  <c r="AC155" i="3"/>
  <c r="F24" i="3"/>
  <c r="G61" i="3"/>
  <c r="W109" i="3"/>
  <c r="P219" i="3"/>
  <c r="K82" i="3"/>
  <c r="AA67" i="3"/>
  <c r="Z80" i="3"/>
  <c r="I229" i="3"/>
  <c r="D125" i="3"/>
  <c r="L185" i="3"/>
  <c r="Z63" i="3"/>
  <c r="O234" i="3"/>
  <c r="P14" i="3"/>
  <c r="A196" i="3"/>
  <c r="N52" i="3"/>
  <c r="H45" i="3"/>
  <c r="G135" i="3"/>
  <c r="G136" i="3"/>
  <c r="J161" i="3"/>
  <c r="M227" i="3"/>
  <c r="O246" i="3"/>
  <c r="D95" i="3"/>
  <c r="U176" i="3"/>
  <c r="W193" i="3"/>
  <c r="R31" i="3"/>
  <c r="S14" i="3"/>
  <c r="J13" i="3"/>
  <c r="S108" i="3"/>
  <c r="M84" i="3"/>
  <c r="AD122" i="3"/>
  <c r="G82" i="3"/>
  <c r="AB28" i="3"/>
  <c r="W198" i="3"/>
  <c r="B70" i="3"/>
  <c r="W211" i="3"/>
  <c r="E195" i="3"/>
  <c r="V15" i="3"/>
  <c r="I113" i="3"/>
  <c r="AD85" i="3"/>
  <c r="B14" i="3"/>
  <c r="P104" i="3"/>
  <c r="E210" i="3"/>
  <c r="N51" i="3"/>
  <c r="R212" i="3"/>
  <c r="P59" i="3"/>
  <c r="J168" i="3"/>
  <c r="Z16" i="3"/>
  <c r="AB31" i="3"/>
  <c r="V246" i="3"/>
  <c r="M18" i="3"/>
  <c r="R224" i="3"/>
  <c r="R178" i="3"/>
  <c r="H191" i="3"/>
  <c r="D71" i="3"/>
  <c r="X38" i="3"/>
  <c r="A120" i="3"/>
  <c r="I5" i="3"/>
  <c r="P242" i="3"/>
  <c r="N153" i="3"/>
  <c r="A56" i="3"/>
  <c r="W85" i="3"/>
  <c r="J90" i="3"/>
  <c r="O67" i="3"/>
  <c r="AC12" i="3"/>
  <c r="AA184" i="3"/>
  <c r="W38" i="3"/>
  <c r="B121" i="3"/>
  <c r="X72" i="3"/>
  <c r="M151" i="3"/>
  <c r="U134" i="3"/>
  <c r="Z192" i="3"/>
  <c r="K114" i="3"/>
  <c r="Y49" i="3"/>
  <c r="N61" i="3"/>
  <c r="B39" i="3"/>
  <c r="G192" i="3"/>
  <c r="D36" i="3"/>
  <c r="AA222" i="3"/>
  <c r="T187" i="3"/>
  <c r="P81" i="3"/>
  <c r="Y14" i="3"/>
  <c r="V27" i="3"/>
  <c r="Q239" i="3"/>
  <c r="AC193" i="3"/>
  <c r="Z223" i="3"/>
  <c r="AA2" i="3"/>
  <c r="Q121" i="3"/>
  <c r="AB135" i="3"/>
  <c r="S220" i="3"/>
  <c r="U235" i="3"/>
  <c r="A104" i="3"/>
  <c r="W190" i="3"/>
  <c r="U252" i="3"/>
  <c r="H21" i="3"/>
  <c r="O165" i="3"/>
  <c r="L74" i="3"/>
  <c r="E203" i="3"/>
  <c r="Z182" i="3"/>
  <c r="M81" i="3"/>
  <c r="K46" i="3"/>
  <c r="Q37" i="3"/>
  <c r="X104" i="3"/>
  <c r="AA188" i="3"/>
  <c r="N149" i="3"/>
  <c r="U13" i="3"/>
  <c r="I110" i="3"/>
  <c r="M52" i="3"/>
  <c r="T158" i="3"/>
  <c r="X111" i="3"/>
  <c r="G12" i="3"/>
  <c r="C109" i="3"/>
  <c r="Z134" i="3"/>
  <c r="M60" i="3"/>
  <c r="P238" i="3"/>
  <c r="Y170" i="3"/>
  <c r="O108" i="3"/>
  <c r="S22" i="3"/>
  <c r="H10" i="3"/>
  <c r="H50" i="3"/>
  <c r="Q93" i="3"/>
  <c r="B186" i="3"/>
  <c r="D177" i="3"/>
  <c r="AA68" i="3"/>
  <c r="K246" i="3"/>
  <c r="X245" i="3"/>
  <c r="B151" i="3"/>
  <c r="R82" i="3"/>
  <c r="V122" i="3"/>
  <c r="Y39" i="3"/>
  <c r="O232" i="3"/>
  <c r="V156" i="3"/>
  <c r="AA71" i="3"/>
  <c r="P189" i="3"/>
  <c r="S177" i="3"/>
  <c r="AD13" i="3"/>
  <c r="AB139" i="3"/>
  <c r="D76" i="3"/>
  <c r="AB124" i="3"/>
  <c r="A76" i="3"/>
  <c r="R4" i="3"/>
  <c r="X194" i="3"/>
  <c r="Q126" i="3"/>
  <c r="X121" i="3"/>
  <c r="M92" i="3"/>
  <c r="AD207" i="3"/>
  <c r="AB110" i="3"/>
  <c r="I88" i="3"/>
  <c r="AB165" i="3"/>
  <c r="E81" i="3"/>
  <c r="AD160" i="3"/>
  <c r="C223" i="3"/>
  <c r="F192" i="3"/>
  <c r="P230" i="3"/>
  <c r="AC186" i="3"/>
  <c r="N9" i="3"/>
  <c r="AD48" i="3"/>
  <c r="B10" i="3"/>
  <c r="Y83" i="3"/>
  <c r="F238" i="3"/>
  <c r="J80" i="3"/>
  <c r="H83" i="3"/>
  <c r="M176" i="3"/>
  <c r="Q171" i="3"/>
  <c r="A129" i="3"/>
  <c r="C179" i="3"/>
  <c r="H233" i="3"/>
  <c r="E231" i="3"/>
  <c r="G4" i="3"/>
  <c r="T198" i="3"/>
  <c r="H44" i="3"/>
  <c r="Q205" i="3"/>
  <c r="B95" i="3"/>
  <c r="O147" i="3"/>
  <c r="T10" i="3"/>
  <c r="O143" i="3"/>
  <c r="U4" i="3"/>
  <c r="A42" i="3"/>
  <c r="K197" i="3"/>
  <c r="V53" i="3"/>
  <c r="W66" i="3"/>
  <c r="S49" i="3"/>
  <c r="N175" i="3"/>
  <c r="Q28" i="3"/>
  <c r="W47" i="3"/>
  <c r="I66" i="3"/>
  <c r="V200" i="3"/>
  <c r="W89" i="3"/>
  <c r="AD190" i="3"/>
  <c r="E49" i="3"/>
  <c r="P131" i="3"/>
  <c r="M163" i="3"/>
  <c r="AA37" i="3"/>
  <c r="AC197" i="3"/>
  <c r="X186" i="3"/>
  <c r="N33" i="3"/>
  <c r="Y106" i="3"/>
  <c r="R235" i="3"/>
  <c r="Y192" i="3"/>
  <c r="R192" i="3"/>
  <c r="J98" i="3"/>
  <c r="R206" i="3"/>
  <c r="AD6" i="3"/>
  <c r="Q54" i="3"/>
  <c r="C168" i="3"/>
  <c r="C87" i="3"/>
  <c r="M188" i="3"/>
  <c r="Y53" i="3"/>
  <c r="E226" i="3"/>
  <c r="U163" i="3"/>
  <c r="AA17" i="3"/>
  <c r="R207" i="3"/>
  <c r="AB13" i="3"/>
  <c r="V188" i="3"/>
  <c r="AD97" i="3"/>
  <c r="H23" i="3"/>
  <c r="A131" i="3"/>
  <c r="G184" i="3"/>
  <c r="AD251" i="3"/>
  <c r="R51" i="3"/>
  <c r="W177" i="3"/>
  <c r="B15" i="3"/>
  <c r="R19" i="3"/>
  <c r="Z58" i="3"/>
  <c r="A183" i="3"/>
  <c r="O96" i="3"/>
  <c r="X246" i="3"/>
  <c r="G115" i="3"/>
  <c r="S128" i="3"/>
  <c r="J190" i="3"/>
  <c r="AC200" i="3"/>
  <c r="B7" i="3"/>
  <c r="P182" i="3"/>
  <c r="K112" i="3"/>
  <c r="Q203" i="3"/>
  <c r="AD5" i="3"/>
  <c r="A43" i="3"/>
  <c r="C137" i="3"/>
  <c r="Y145" i="3"/>
  <c r="Y9" i="3"/>
  <c r="U56" i="3"/>
  <c r="V83" i="3"/>
  <c r="B219" i="3"/>
  <c r="B172" i="3"/>
  <c r="AD113" i="3"/>
  <c r="F38" i="3"/>
  <c r="O221" i="3"/>
  <c r="G51" i="3"/>
  <c r="M95" i="3"/>
  <c r="J135" i="3"/>
  <c r="AB64" i="3"/>
  <c r="E32" i="3"/>
  <c r="D160" i="3"/>
  <c r="A167" i="3"/>
  <c r="H211" i="3"/>
  <c r="T123" i="3"/>
  <c r="I209" i="3"/>
  <c r="X192" i="3"/>
  <c r="E17" i="3"/>
  <c r="F153" i="3"/>
  <c r="X13" i="3"/>
  <c r="Z43" i="3"/>
  <c r="D78" i="3"/>
  <c r="M4" i="3"/>
  <c r="X27" i="3"/>
  <c r="Z148" i="3"/>
  <c r="M205" i="3"/>
  <c r="AB138" i="3"/>
  <c r="P192" i="3"/>
  <c r="AD31" i="3"/>
  <c r="G100" i="3"/>
  <c r="A237" i="3"/>
  <c r="Z65" i="3"/>
  <c r="H25" i="3"/>
  <c r="H250" i="3"/>
  <c r="M45" i="3"/>
  <c r="D20" i="3"/>
  <c r="U70" i="3"/>
  <c r="Q202" i="3"/>
  <c r="AD178" i="3"/>
  <c r="AA223" i="3"/>
  <c r="P67" i="3"/>
  <c r="L59" i="3"/>
  <c r="N125" i="3"/>
  <c r="A206" i="3"/>
  <c r="S97" i="3"/>
  <c r="N41" i="3"/>
  <c r="T197" i="3"/>
  <c r="M172" i="3"/>
  <c r="F150" i="3"/>
  <c r="F105" i="3"/>
  <c r="I98" i="3"/>
  <c r="D232" i="3"/>
  <c r="AD28" i="3"/>
  <c r="V33" i="3"/>
  <c r="D133" i="3"/>
  <c r="B199" i="3"/>
  <c r="J216" i="3"/>
  <c r="M115" i="3"/>
  <c r="AD143" i="3"/>
  <c r="AA23" i="3"/>
  <c r="O142" i="3"/>
  <c r="A16" i="3"/>
  <c r="O226" i="3"/>
  <c r="T147" i="3"/>
  <c r="W24" i="3"/>
  <c r="A99" i="3"/>
  <c r="B90" i="3"/>
  <c r="L106" i="3"/>
  <c r="E50" i="3"/>
  <c r="S231" i="3"/>
  <c r="S57" i="3"/>
  <c r="K167" i="3"/>
  <c r="T122" i="3"/>
  <c r="R7" i="3"/>
  <c r="J21" i="3"/>
  <c r="G246" i="3"/>
  <c r="L232" i="3"/>
  <c r="N155" i="3"/>
  <c r="M96" i="3"/>
  <c r="K74" i="3"/>
  <c r="X243" i="3"/>
  <c r="B55" i="3"/>
  <c r="S160" i="3"/>
  <c r="A87" i="3"/>
  <c r="AC230" i="3"/>
  <c r="P9" i="3"/>
  <c r="T36" i="3"/>
  <c r="H39" i="3"/>
  <c r="AB76" i="3"/>
  <c r="N243" i="3"/>
  <c r="O238" i="3"/>
  <c r="X46" i="3"/>
  <c r="R90" i="3"/>
  <c r="X25" i="3"/>
  <c r="AB2" i="3"/>
  <c r="U129" i="3"/>
  <c r="B53" i="3"/>
  <c r="AC132" i="3"/>
  <c r="Q35" i="3"/>
  <c r="AC126" i="3"/>
  <c r="Y237" i="3"/>
  <c r="C80" i="3"/>
  <c r="AA235" i="3"/>
  <c r="O175" i="3"/>
  <c r="AA229" i="3"/>
  <c r="J117" i="3"/>
  <c r="D184" i="3"/>
  <c r="D224" i="3"/>
  <c r="T253" i="3"/>
  <c r="P37" i="3"/>
  <c r="B21" i="3"/>
  <c r="O136" i="3"/>
  <c r="A199" i="3"/>
  <c r="R91" i="3"/>
  <c r="O105" i="3"/>
  <c r="H103" i="3"/>
  <c r="D172" i="3"/>
  <c r="K149" i="3"/>
  <c r="R191" i="3"/>
  <c r="X93" i="3"/>
  <c r="Z39" i="3"/>
  <c r="U175" i="3"/>
  <c r="U161" i="3"/>
  <c r="W61" i="3"/>
  <c r="T81" i="3"/>
  <c r="T133" i="3"/>
  <c r="Z2" i="3"/>
  <c r="N242" i="3"/>
  <c r="N94" i="3"/>
  <c r="I107" i="3"/>
  <c r="B189" i="3"/>
  <c r="AC121" i="3"/>
  <c r="O243" i="3"/>
  <c r="B163" i="3"/>
  <c r="D201" i="3"/>
  <c r="X253" i="3"/>
  <c r="W95" i="3"/>
  <c r="P205" i="3"/>
  <c r="H170" i="3"/>
  <c r="AA83" i="3"/>
  <c r="AA19" i="3"/>
  <c r="A15" i="3"/>
  <c r="N47" i="3"/>
  <c r="G45" i="3"/>
  <c r="E248" i="3"/>
  <c r="B78" i="3"/>
  <c r="C34" i="3"/>
  <c r="W192" i="3"/>
  <c r="X102" i="3"/>
  <c r="N253" i="3"/>
  <c r="Y133" i="3"/>
  <c r="F186" i="3"/>
  <c r="O70" i="3"/>
  <c r="D141" i="3"/>
  <c r="M109" i="3"/>
  <c r="H130" i="3"/>
  <c r="P229" i="3"/>
  <c r="C165" i="3"/>
  <c r="A95" i="3"/>
  <c r="N244" i="3"/>
  <c r="V86" i="3"/>
  <c r="P169" i="3"/>
  <c r="L214" i="3"/>
  <c r="N174" i="3"/>
  <c r="E90" i="3"/>
  <c r="K87" i="3"/>
  <c r="I44" i="3"/>
  <c r="F103" i="3"/>
  <c r="AC11" i="3"/>
  <c r="E125" i="3"/>
  <c r="E170" i="3"/>
  <c r="B119" i="3"/>
  <c r="Q11" i="3"/>
  <c r="E70" i="3"/>
  <c r="S164" i="3"/>
  <c r="S5" i="3"/>
  <c r="AC71" i="3"/>
  <c r="F122" i="3"/>
  <c r="A107" i="3"/>
  <c r="O120" i="3"/>
  <c r="G90" i="3"/>
  <c r="O76" i="3"/>
  <c r="S200" i="3"/>
  <c r="N3" i="3"/>
  <c r="T159" i="3"/>
  <c r="L198" i="3"/>
  <c r="K130" i="3"/>
  <c r="N48" i="3"/>
  <c r="AB10" i="3"/>
  <c r="D136" i="3"/>
  <c r="AD199" i="3"/>
  <c r="U169" i="3"/>
  <c r="AB113" i="3"/>
  <c r="N95" i="3"/>
  <c r="C20" i="3"/>
  <c r="D122" i="3"/>
  <c r="G41" i="3"/>
  <c r="D148" i="3"/>
  <c r="D187" i="3"/>
  <c r="I65" i="3"/>
  <c r="W3" i="3"/>
  <c r="T68" i="3"/>
  <c r="O130" i="3"/>
  <c r="S161" i="3"/>
  <c r="B162" i="3"/>
  <c r="Y198" i="3"/>
  <c r="AA27" i="3"/>
  <c r="Y82" i="3"/>
  <c r="V21" i="3"/>
  <c r="J51" i="3"/>
  <c r="K142" i="3"/>
  <c r="I244" i="3"/>
  <c r="J172" i="3"/>
  <c r="AB29" i="3"/>
  <c r="X137" i="3"/>
  <c r="Q10" i="3"/>
  <c r="Q219" i="3"/>
  <c r="V30" i="3"/>
  <c r="Y162" i="3"/>
  <c r="C150" i="3"/>
  <c r="B132" i="3"/>
  <c r="G55" i="3"/>
  <c r="AA144" i="3"/>
  <c r="B110" i="3"/>
  <c r="AB132" i="3"/>
  <c r="L238" i="3"/>
  <c r="D211" i="3"/>
  <c r="O43" i="3"/>
  <c r="AC247" i="3"/>
  <c r="V25" i="3"/>
  <c r="H192" i="3"/>
  <c r="W27" i="3"/>
  <c r="R183" i="3"/>
  <c r="AB53" i="3"/>
  <c r="N87" i="3"/>
  <c r="M162" i="3"/>
  <c r="J65" i="3"/>
  <c r="G182" i="3"/>
  <c r="AC154" i="3"/>
  <c r="B86" i="3"/>
  <c r="H154" i="3"/>
  <c r="X4" i="3"/>
  <c r="AB203" i="3"/>
  <c r="G3" i="3"/>
  <c r="J32" i="3"/>
  <c r="L231" i="3"/>
  <c r="X110" i="3"/>
  <c r="O124" i="3"/>
  <c r="AA39" i="3"/>
  <c r="C107" i="3"/>
  <c r="P94" i="3"/>
  <c r="K193" i="3"/>
  <c r="AA254" i="3"/>
  <c r="Y58" i="3"/>
  <c r="B180" i="3"/>
  <c r="R18" i="3"/>
  <c r="Y163" i="3"/>
  <c r="Y249" i="3"/>
  <c r="AC226" i="3"/>
  <c r="Y64" i="3"/>
  <c r="AA34" i="3"/>
  <c r="H254" i="3"/>
  <c r="V190" i="3"/>
  <c r="I222" i="3"/>
  <c r="F169" i="3"/>
  <c r="F100" i="3"/>
  <c r="L90" i="3"/>
  <c r="P29" i="3"/>
  <c r="I196" i="3"/>
  <c r="P53" i="3"/>
  <c r="L91" i="3"/>
  <c r="B158" i="3"/>
  <c r="F45" i="3"/>
  <c r="W246" i="3"/>
  <c r="AC59" i="3"/>
  <c r="T249" i="3"/>
  <c r="I79" i="3"/>
  <c r="D17" i="3"/>
  <c r="AC242" i="3"/>
  <c r="Y122" i="3"/>
  <c r="A119" i="3"/>
  <c r="T9" i="3"/>
  <c r="G183" i="3"/>
  <c r="S41" i="3"/>
  <c r="P16" i="3"/>
  <c r="AD223" i="3"/>
  <c r="R28" i="3"/>
  <c r="AD254" i="3"/>
  <c r="C124" i="3"/>
  <c r="Z129" i="3"/>
  <c r="F116" i="3"/>
  <c r="P82" i="3"/>
  <c r="Q211" i="3"/>
  <c r="K203" i="3"/>
  <c r="Z59" i="3"/>
  <c r="N132" i="3"/>
  <c r="R189" i="3"/>
  <c r="AD142" i="3"/>
  <c r="G37" i="3"/>
  <c r="P245" i="3"/>
  <c r="K16" i="3"/>
  <c r="G120" i="3"/>
  <c r="AD137" i="3"/>
  <c r="A235" i="3"/>
  <c r="A13" i="3"/>
  <c r="H124" i="3"/>
  <c r="V43" i="3"/>
  <c r="R60" i="3"/>
  <c r="L39" i="3"/>
  <c r="R210" i="3"/>
  <c r="T17" i="3"/>
  <c r="B177" i="3"/>
  <c r="S103" i="3"/>
  <c r="Y148" i="3"/>
  <c r="X160" i="3"/>
  <c r="U248" i="3"/>
  <c r="H228" i="3"/>
  <c r="AA236" i="3"/>
  <c r="Y154" i="3"/>
  <c r="A4" i="3"/>
  <c r="AB224" i="3"/>
  <c r="J73" i="3"/>
  <c r="AC117" i="3"/>
  <c r="O203" i="3"/>
  <c r="AB16" i="3"/>
  <c r="G93" i="3"/>
  <c r="S223" i="3"/>
  <c r="V129" i="3"/>
  <c r="J197" i="3"/>
  <c r="D181" i="3"/>
  <c r="O178" i="3"/>
  <c r="G188" i="3"/>
  <c r="X217" i="3"/>
  <c r="A220" i="3"/>
  <c r="S174" i="3"/>
  <c r="T94" i="3"/>
  <c r="K70" i="3"/>
  <c r="V224" i="3"/>
  <c r="V32" i="3"/>
  <c r="T115" i="3"/>
  <c r="P233" i="3"/>
  <c r="B133" i="3"/>
  <c r="A166" i="3"/>
  <c r="V47" i="3"/>
  <c r="O185" i="3"/>
  <c r="L32" i="3"/>
  <c r="K143" i="3"/>
  <c r="X105" i="3"/>
  <c r="B253" i="3"/>
  <c r="V147" i="3"/>
  <c r="G196" i="3"/>
  <c r="I47" i="3"/>
  <c r="W69" i="3"/>
  <c r="Z45" i="3"/>
  <c r="R236" i="3"/>
  <c r="Y226" i="3"/>
  <c r="J249" i="3"/>
  <c r="Y45" i="3"/>
  <c r="O110" i="3"/>
  <c r="A217" i="3"/>
  <c r="S206" i="3"/>
  <c r="W15" i="3"/>
  <c r="C131" i="3"/>
  <c r="L61" i="3"/>
  <c r="S16" i="3"/>
  <c r="Z144" i="3"/>
  <c r="R237" i="3"/>
  <c r="AD76" i="3"/>
  <c r="X89" i="3"/>
  <c r="P200" i="3"/>
  <c r="T155" i="3"/>
  <c r="V174" i="3"/>
  <c r="AD248" i="3"/>
  <c r="A25" i="3"/>
  <c r="K249" i="3"/>
  <c r="B62" i="3"/>
  <c r="Y8" i="3"/>
  <c r="N21" i="3"/>
  <c r="S64" i="3"/>
  <c r="K115" i="3"/>
  <c r="L237" i="3"/>
  <c r="K243" i="3"/>
  <c r="Z18" i="3"/>
  <c r="T99" i="3"/>
  <c r="N69" i="3"/>
  <c r="P60" i="3"/>
  <c r="M128" i="3"/>
  <c r="X108" i="3"/>
  <c r="G127" i="3"/>
  <c r="K165" i="3"/>
  <c r="V204" i="3"/>
  <c r="T30" i="3"/>
  <c r="AC204" i="3"/>
  <c r="Q134" i="3"/>
  <c r="X156" i="3"/>
  <c r="P220" i="3"/>
  <c r="W143" i="3"/>
  <c r="W118" i="3"/>
  <c r="J225" i="3"/>
  <c r="G238" i="3"/>
  <c r="AC241" i="3"/>
  <c r="O41" i="3"/>
  <c r="O19" i="3"/>
  <c r="D21" i="3"/>
  <c r="F132" i="3"/>
  <c r="R71" i="3"/>
  <c r="T46" i="3"/>
  <c r="V113" i="3"/>
  <c r="T139" i="3"/>
  <c r="AB251" i="3"/>
  <c r="S122" i="3"/>
  <c r="M104" i="3"/>
  <c r="S43" i="3"/>
  <c r="H72" i="3"/>
  <c r="I86" i="3"/>
  <c r="Y221" i="3"/>
  <c r="D107" i="3"/>
  <c r="L188" i="3"/>
  <c r="T154" i="3"/>
  <c r="U219" i="3"/>
  <c r="E235" i="3"/>
  <c r="P78" i="3"/>
  <c r="G8" i="3"/>
  <c r="N20" i="3"/>
  <c r="U91" i="3"/>
  <c r="R22" i="3"/>
  <c r="A14" i="3"/>
  <c r="T77" i="3"/>
  <c r="J60" i="3"/>
  <c r="C54" i="3"/>
  <c r="F166" i="3"/>
  <c r="E150" i="3"/>
  <c r="B22" i="3"/>
  <c r="M122" i="3"/>
  <c r="V56" i="3"/>
  <c r="Q137" i="3"/>
  <c r="Y147" i="3"/>
  <c r="M160" i="3"/>
  <c r="H41" i="3"/>
  <c r="S70" i="3"/>
  <c r="X60" i="3"/>
  <c r="T182" i="3"/>
  <c r="F80" i="3"/>
  <c r="I80" i="3"/>
  <c r="S9" i="3"/>
  <c r="J130" i="3"/>
  <c r="X254" i="3"/>
  <c r="AD149" i="3"/>
  <c r="I235" i="3"/>
  <c r="A182" i="3"/>
  <c r="P139" i="3"/>
  <c r="E55" i="3"/>
  <c r="J253" i="3"/>
  <c r="I228" i="3"/>
  <c r="V169" i="3"/>
  <c r="U244" i="3"/>
  <c r="AC107" i="3"/>
  <c r="A23" i="3"/>
  <c r="F154" i="3"/>
  <c r="D135" i="3"/>
  <c r="N189" i="3"/>
  <c r="AA52" i="3"/>
  <c r="C53" i="3"/>
  <c r="E26" i="3"/>
  <c r="K123" i="3"/>
  <c r="V124" i="3"/>
  <c r="AD67" i="3"/>
  <c r="A172" i="3"/>
  <c r="AC29" i="3"/>
  <c r="E54" i="3"/>
  <c r="A238" i="3"/>
  <c r="M6" i="3"/>
  <c r="I187" i="3"/>
  <c r="Y63" i="3"/>
  <c r="I112" i="3"/>
  <c r="C69" i="3"/>
  <c r="H12" i="3"/>
  <c r="H119" i="3"/>
  <c r="AB99" i="3"/>
  <c r="T250" i="3"/>
  <c r="M197" i="3"/>
  <c r="B128" i="3"/>
  <c r="K86" i="3"/>
  <c r="M233" i="3"/>
  <c r="T85" i="3"/>
  <c r="L68" i="3"/>
  <c r="T74" i="3"/>
  <c r="C130" i="3"/>
  <c r="N75" i="3"/>
  <c r="P160" i="3"/>
  <c r="N195" i="3"/>
  <c r="J246" i="3"/>
  <c r="N205" i="3"/>
  <c r="Q234" i="3"/>
  <c r="A127" i="3"/>
  <c r="Y81" i="3"/>
  <c r="D43" i="3"/>
  <c r="U9" i="3"/>
  <c r="V238" i="3"/>
  <c r="AD88" i="3"/>
  <c r="AB65" i="3"/>
  <c r="S17" i="3"/>
  <c r="E72" i="3"/>
  <c r="X28" i="3"/>
  <c r="AB68" i="3"/>
  <c r="O94" i="3"/>
  <c r="L180" i="3"/>
  <c r="C19" i="3"/>
  <c r="A74" i="3"/>
  <c r="A63" i="3"/>
  <c r="F209" i="3"/>
  <c r="E182" i="3"/>
  <c r="AB119" i="3"/>
  <c r="K7" i="3"/>
  <c r="V179" i="3"/>
  <c r="H113" i="3"/>
  <c r="V75" i="3"/>
  <c r="AD66" i="3"/>
  <c r="AA145" i="3"/>
  <c r="A31" i="3"/>
  <c r="S236" i="3"/>
  <c r="O93" i="3"/>
  <c r="Q225" i="3"/>
  <c r="K121" i="3"/>
  <c r="B69" i="3"/>
  <c r="U98" i="3"/>
  <c r="Y171" i="3"/>
  <c r="R221" i="3"/>
  <c r="U116" i="3"/>
  <c r="X26" i="3"/>
  <c r="S179" i="3"/>
  <c r="G121" i="3"/>
  <c r="W77" i="3"/>
  <c r="G18" i="3"/>
  <c r="A21" i="3"/>
  <c r="F242" i="3"/>
  <c r="G110" i="3"/>
  <c r="W130" i="3"/>
  <c r="X219" i="3"/>
  <c r="T211" i="3"/>
  <c r="Q229" i="3"/>
  <c r="K67" i="3"/>
  <c r="S25" i="3"/>
  <c r="U145" i="3"/>
  <c r="Q220" i="3"/>
  <c r="R141" i="3"/>
  <c r="AD166" i="3"/>
  <c r="Z150" i="3"/>
  <c r="D209" i="3"/>
  <c r="J129" i="3"/>
  <c r="P18" i="3"/>
  <c r="M30" i="3"/>
  <c r="O180" i="3"/>
  <c r="A38" i="3"/>
  <c r="O38" i="3"/>
  <c r="G122" i="3"/>
  <c r="A186" i="3"/>
  <c r="A59" i="3"/>
  <c r="L15" i="3"/>
  <c r="B164" i="3"/>
  <c r="AD106" i="3"/>
  <c r="X63" i="3"/>
  <c r="X138" i="3"/>
  <c r="S154" i="3"/>
  <c r="AD60" i="3"/>
  <c r="S31" i="3"/>
  <c r="O103" i="3"/>
  <c r="J89" i="3"/>
  <c r="S126" i="3"/>
  <c r="K141" i="3"/>
  <c r="AD91" i="3"/>
  <c r="O254" i="3"/>
  <c r="O116" i="3"/>
  <c r="U146" i="3"/>
  <c r="P236" i="3"/>
  <c r="AA170" i="3"/>
  <c r="AA180" i="3"/>
  <c r="R154" i="3"/>
  <c r="M37" i="3"/>
  <c r="Q22" i="3"/>
  <c r="T132" i="3"/>
  <c r="U32" i="3"/>
  <c r="N11" i="3"/>
  <c r="AA165" i="3"/>
  <c r="I71" i="3"/>
  <c r="U205" i="3"/>
  <c r="B166" i="3"/>
  <c r="D49" i="3"/>
  <c r="I132" i="3"/>
  <c r="A121" i="3"/>
  <c r="D254" i="3"/>
  <c r="X118" i="3"/>
  <c r="A24" i="3"/>
  <c r="Y10" i="3"/>
  <c r="D249" i="3"/>
  <c r="M79" i="3"/>
  <c r="M202" i="3"/>
  <c r="A85" i="3"/>
  <c r="S61" i="3"/>
  <c r="Y230" i="3"/>
  <c r="J100" i="3"/>
  <c r="G86" i="3"/>
  <c r="Z172" i="3"/>
  <c r="M73" i="3"/>
  <c r="AA35" i="3"/>
  <c r="Q237" i="3"/>
  <c r="B27" i="3"/>
  <c r="A66" i="3"/>
  <c r="AA49" i="3"/>
  <c r="W16" i="3"/>
  <c r="S156" i="3"/>
  <c r="U44" i="3"/>
  <c r="I124" i="3"/>
  <c r="R158" i="3"/>
  <c r="T27" i="3"/>
  <c r="N60" i="3"/>
  <c r="W72" i="3"/>
  <c r="Q216" i="3"/>
  <c r="R73" i="3"/>
  <c r="E77" i="3"/>
  <c r="X9" i="3"/>
  <c r="M17" i="3"/>
  <c r="O49" i="3"/>
  <c r="U19" i="3"/>
  <c r="C121" i="3"/>
  <c r="O122" i="3"/>
  <c r="M181" i="3"/>
  <c r="R157" i="3"/>
  <c r="D216" i="3"/>
  <c r="J72" i="3"/>
  <c r="R99" i="3"/>
  <c r="U120" i="3"/>
  <c r="C128" i="3"/>
  <c r="A58" i="3"/>
  <c r="T114" i="3"/>
  <c r="F164" i="3"/>
  <c r="R162" i="3"/>
  <c r="Q74" i="3"/>
  <c r="J14" i="3"/>
  <c r="S90" i="3"/>
  <c r="H142" i="3"/>
  <c r="I27" i="3"/>
  <c r="M106" i="3"/>
  <c r="D19" i="3"/>
  <c r="U57" i="3"/>
  <c r="AC7" i="3"/>
  <c r="N198" i="3"/>
  <c r="R10" i="3"/>
  <c r="D129" i="3"/>
  <c r="R16" i="3"/>
  <c r="A124" i="3"/>
  <c r="Z14" i="3"/>
  <c r="M234" i="3"/>
  <c r="P110" i="3"/>
  <c r="J22" i="3"/>
  <c r="V87" i="3"/>
  <c r="C228" i="3"/>
  <c r="K2" i="3"/>
  <c r="Y187" i="3"/>
  <c r="AC201" i="3"/>
  <c r="I116" i="3"/>
  <c r="F251" i="3"/>
  <c r="S139" i="3"/>
  <c r="L52" i="3"/>
  <c r="H205" i="3"/>
  <c r="K170" i="3"/>
  <c r="E198" i="3"/>
  <c r="M144" i="3"/>
  <c r="L225" i="3"/>
  <c r="V236" i="3"/>
  <c r="K12" i="3"/>
  <c r="G170" i="3"/>
  <c r="L115" i="3"/>
  <c r="H87" i="3"/>
  <c r="M102" i="3"/>
  <c r="T242" i="3"/>
  <c r="E221" i="3"/>
  <c r="U225" i="3"/>
  <c r="W172" i="3"/>
  <c r="U218" i="3"/>
  <c r="AC44" i="3"/>
  <c r="W84" i="3"/>
  <c r="N79" i="3"/>
  <c r="AD203" i="3"/>
  <c r="G15" i="3"/>
  <c r="X78" i="3"/>
  <c r="A2" i="3"/>
  <c r="I217" i="3"/>
  <c r="I198" i="3"/>
  <c r="AC195" i="3"/>
  <c r="I97" i="3"/>
  <c r="G95" i="3"/>
  <c r="I77" i="3"/>
  <c r="J54" i="3"/>
  <c r="A146" i="3"/>
  <c r="W11" i="3"/>
  <c r="A236" i="3"/>
  <c r="N170" i="3"/>
  <c r="P99" i="3"/>
  <c r="P68" i="3"/>
  <c r="G97" i="3"/>
  <c r="L122" i="3"/>
  <c r="I28" i="3"/>
  <c r="W189" i="3"/>
  <c r="AA216" i="3"/>
  <c r="Y123" i="3"/>
  <c r="B118" i="3"/>
  <c r="P30" i="3"/>
  <c r="J3" i="3"/>
  <c r="I254" i="3"/>
  <c r="O73" i="3"/>
  <c r="S250" i="3"/>
  <c r="A5" i="3"/>
  <c r="V240" i="3"/>
  <c r="B76" i="3"/>
  <c r="U165" i="3"/>
  <c r="J104" i="3"/>
  <c r="AB43" i="3"/>
  <c r="AC70" i="3"/>
  <c r="A125" i="3"/>
  <c r="AC187" i="3"/>
  <c r="N32" i="3"/>
  <c r="Y98" i="3"/>
  <c r="AD95" i="3"/>
  <c r="T95" i="3"/>
  <c r="B31" i="3"/>
  <c r="E171" i="3"/>
  <c r="B167" i="3"/>
  <c r="AC10" i="3"/>
  <c r="Z157" i="3"/>
  <c r="Q241" i="3"/>
  <c r="O242" i="3"/>
  <c r="Y24" i="3"/>
  <c r="Q62" i="3"/>
  <c r="AA215" i="3"/>
  <c r="B136" i="3"/>
  <c r="Z94" i="3"/>
  <c r="H129" i="3"/>
  <c r="Y178" i="3"/>
  <c r="AC172" i="3"/>
  <c r="X172" i="3"/>
  <c r="S132" i="3"/>
  <c r="L83" i="3"/>
  <c r="E74" i="3"/>
  <c r="C122" i="3"/>
  <c r="V20" i="3"/>
  <c r="AA186" i="3"/>
  <c r="AC115" i="3"/>
  <c r="F40" i="3"/>
  <c r="V38" i="3"/>
  <c r="U127" i="3"/>
  <c r="E18" i="3"/>
  <c r="F35" i="3"/>
  <c r="P38" i="3"/>
  <c r="W53" i="3"/>
  <c r="C199" i="3"/>
  <c r="W199" i="3"/>
  <c r="F59" i="3"/>
  <c r="J142" i="3"/>
  <c r="M201" i="3"/>
  <c r="J238" i="3"/>
  <c r="R115" i="3"/>
  <c r="Q85" i="3"/>
  <c r="S158" i="3"/>
  <c r="L98" i="3"/>
  <c r="G75" i="3"/>
  <c r="C250" i="3"/>
  <c r="B184" i="3"/>
  <c r="J126" i="3"/>
  <c r="E103" i="3"/>
  <c r="M86" i="3"/>
  <c r="K40" i="3"/>
  <c r="S81" i="3"/>
  <c r="Z75" i="3"/>
  <c r="V67" i="3"/>
  <c r="A212" i="3"/>
  <c r="AD123" i="3"/>
  <c r="R226" i="3"/>
  <c r="AC178" i="3"/>
  <c r="Y253" i="3"/>
  <c r="J92" i="3"/>
  <c r="AA5" i="3"/>
  <c r="V6" i="3"/>
  <c r="Q42" i="3"/>
  <c r="Z32" i="3"/>
  <c r="T183" i="3"/>
  <c r="F87" i="3"/>
  <c r="AC244" i="3"/>
  <c r="C40" i="3"/>
  <c r="O57" i="3"/>
  <c r="V69" i="3"/>
  <c r="U94" i="3"/>
  <c r="Y220" i="3"/>
  <c r="R239" i="3"/>
  <c r="Y110" i="3"/>
  <c r="AA93" i="3"/>
  <c r="J79" i="3"/>
  <c r="I145" i="3"/>
  <c r="N89" i="3"/>
  <c r="F115" i="3"/>
  <c r="X228" i="3"/>
  <c r="G144" i="3"/>
  <c r="R152" i="3"/>
  <c r="J194" i="3"/>
  <c r="AB8" i="3"/>
  <c r="N74" i="3"/>
  <c r="O88" i="3"/>
  <c r="B254" i="3"/>
  <c r="AB100" i="3"/>
  <c r="D221" i="3"/>
  <c r="E139" i="3"/>
  <c r="W117" i="3"/>
  <c r="D242" i="3"/>
  <c r="U29" i="3"/>
  <c r="B213" i="3"/>
  <c r="AC32" i="3"/>
  <c r="P224" i="3"/>
  <c r="AB69" i="3"/>
  <c r="AB140" i="3"/>
  <c r="Q79" i="3"/>
  <c r="Z132" i="3"/>
  <c r="E151" i="3"/>
  <c r="AB117" i="3"/>
  <c r="B40" i="3"/>
  <c r="AC13" i="3"/>
  <c r="AD38" i="3"/>
  <c r="U35" i="3"/>
  <c r="P109" i="3"/>
  <c r="AB122" i="3"/>
  <c r="Y70" i="3"/>
  <c r="F246" i="3"/>
  <c r="AC127" i="3"/>
  <c r="E60" i="3"/>
  <c r="C154" i="3"/>
  <c r="Z47" i="3"/>
  <c r="W25" i="3"/>
  <c r="AB185" i="3"/>
  <c r="S107" i="3"/>
  <c r="Z108" i="3"/>
  <c r="Z131" i="3"/>
  <c r="Y20" i="3"/>
  <c r="W147" i="3"/>
  <c r="AD119" i="3"/>
  <c r="C231" i="3"/>
  <c r="V118" i="3"/>
  <c r="A230" i="3"/>
  <c r="E89" i="3"/>
  <c r="AB146" i="3"/>
  <c r="P76" i="3"/>
  <c r="W200" i="3"/>
  <c r="A192" i="3"/>
  <c r="J179" i="3"/>
  <c r="E33" i="3"/>
  <c r="D200" i="3"/>
  <c r="X84" i="3"/>
  <c r="K65" i="3"/>
  <c r="X136" i="3"/>
  <c r="K17" i="3"/>
  <c r="T171" i="3"/>
  <c r="U213" i="3"/>
  <c r="AA114" i="3"/>
  <c r="M12" i="3"/>
  <c r="I30" i="3"/>
  <c r="Z42" i="3"/>
  <c r="AC150" i="3"/>
  <c r="C91" i="3"/>
  <c r="T93" i="3"/>
  <c r="D87" i="3"/>
  <c r="N222" i="3"/>
  <c r="N10" i="3"/>
  <c r="R201" i="3"/>
  <c r="C52" i="3"/>
  <c r="A46" i="3"/>
  <c r="Y17" i="3"/>
  <c r="V72" i="3"/>
  <c r="D126" i="3"/>
  <c r="AA183" i="3"/>
  <c r="S167" i="3"/>
  <c r="A62" i="3"/>
  <c r="Z70" i="3"/>
  <c r="R95" i="3"/>
  <c r="E209" i="3"/>
  <c r="P140" i="3"/>
  <c r="V22" i="3"/>
  <c r="G138" i="3"/>
  <c r="A225" i="3"/>
  <c r="AA136" i="3"/>
  <c r="M31" i="3"/>
  <c r="S182" i="3"/>
  <c r="N215" i="3"/>
  <c r="AA89" i="3"/>
  <c r="AC75" i="3"/>
  <c r="Z191" i="3"/>
  <c r="I200" i="3"/>
  <c r="P175" i="3"/>
  <c r="P199" i="3"/>
  <c r="D39" i="3"/>
  <c r="AB217" i="3"/>
  <c r="AA13" i="3"/>
  <c r="S21" i="3"/>
  <c r="W13" i="3"/>
  <c r="D169" i="3"/>
  <c r="K42" i="3"/>
  <c r="L18" i="3"/>
  <c r="W52" i="3"/>
  <c r="F147" i="3"/>
  <c r="J55" i="3"/>
  <c r="X49" i="3"/>
  <c r="V8" i="3"/>
  <c r="AD173" i="3"/>
  <c r="S68" i="3"/>
  <c r="T78" i="3"/>
  <c r="S13" i="3"/>
  <c r="AD23" i="3"/>
  <c r="C93" i="3"/>
  <c r="L45" i="3"/>
  <c r="D28" i="3"/>
  <c r="L86" i="3"/>
  <c r="Z179" i="3"/>
  <c r="M240" i="3"/>
  <c r="AA18" i="3"/>
  <c r="M199" i="3"/>
  <c r="H109" i="3"/>
  <c r="A222" i="3"/>
  <c r="AB136" i="3"/>
  <c r="D58" i="3"/>
  <c r="M26" i="3"/>
  <c r="Y231" i="3"/>
  <c r="L58" i="3"/>
  <c r="C3" i="3"/>
  <c r="U38" i="3"/>
  <c r="T84" i="3"/>
  <c r="A108" i="3"/>
  <c r="O27" i="3"/>
  <c r="U37" i="3"/>
  <c r="I152" i="3"/>
  <c r="U12" i="3"/>
  <c r="P86" i="3"/>
  <c r="S178" i="3"/>
  <c r="U36" i="3"/>
  <c r="T75" i="3"/>
  <c r="AD96" i="3"/>
  <c r="D153" i="3"/>
  <c r="W127" i="3"/>
  <c r="AB38" i="3"/>
  <c r="Q89" i="3"/>
  <c r="AB114" i="3"/>
  <c r="F101" i="3"/>
  <c r="Y29" i="3"/>
  <c r="AB20" i="3"/>
  <c r="G237" i="3"/>
  <c r="W116" i="3"/>
  <c r="X146" i="3"/>
  <c r="V197" i="3"/>
  <c r="K47" i="3"/>
  <c r="AB143" i="3"/>
  <c r="R14" i="3"/>
  <c r="AB74" i="3"/>
  <c r="AA231" i="3"/>
  <c r="Q94" i="3"/>
  <c r="F90" i="3"/>
  <c r="F182" i="3"/>
  <c r="P241" i="3"/>
  <c r="AA241" i="3"/>
  <c r="A180" i="3"/>
  <c r="C155" i="3"/>
  <c r="N239" i="3"/>
  <c r="T26" i="3"/>
  <c r="A174" i="3"/>
  <c r="AC14" i="3"/>
  <c r="L81" i="3"/>
  <c r="Q40" i="3"/>
  <c r="S213" i="3"/>
  <c r="O89" i="3"/>
  <c r="T49" i="3"/>
  <c r="AB83" i="3"/>
  <c r="X87" i="3"/>
  <c r="Z34" i="3"/>
  <c r="P154" i="3"/>
  <c r="D162" i="3"/>
  <c r="J230" i="3"/>
  <c r="R164" i="3"/>
  <c r="J46" i="3"/>
  <c r="AA178" i="3"/>
  <c r="H160" i="3"/>
  <c r="F225" i="3"/>
  <c r="C4" i="3"/>
  <c r="AA129" i="3"/>
  <c r="H167" i="3"/>
  <c r="AC35" i="3"/>
  <c r="P48" i="3"/>
  <c r="C59" i="3"/>
  <c r="P202" i="3"/>
  <c r="AA41" i="3"/>
  <c r="AA164" i="3"/>
  <c r="G40" i="3"/>
  <c r="P57" i="3"/>
  <c r="G105" i="3"/>
  <c r="G213" i="3"/>
  <c r="R34" i="3"/>
  <c r="L111" i="3"/>
  <c r="X14" i="3"/>
  <c r="Z165" i="3"/>
  <c r="B143" i="3"/>
  <c r="K81" i="3"/>
  <c r="X88" i="3"/>
  <c r="N148" i="3"/>
  <c r="AD200" i="3"/>
  <c r="T43" i="3"/>
  <c r="AC104" i="3"/>
  <c r="Y194" i="3"/>
  <c r="D46" i="3"/>
  <c r="W108" i="3"/>
  <c r="U201" i="3"/>
  <c r="A112" i="3"/>
  <c r="AC191" i="3"/>
  <c r="AC80" i="3"/>
  <c r="Y172" i="3"/>
  <c r="W134" i="3"/>
  <c r="K80" i="3"/>
  <c r="U107" i="3"/>
  <c r="AD177" i="3"/>
  <c r="I111" i="3"/>
  <c r="E94" i="3"/>
  <c r="C119" i="3"/>
  <c r="O140" i="3"/>
  <c r="I32" i="3"/>
  <c r="R219" i="3"/>
  <c r="L152" i="3"/>
  <c r="I115" i="3"/>
  <c r="G142" i="3"/>
  <c r="M117" i="3"/>
  <c r="F204" i="3"/>
  <c r="I236" i="3"/>
  <c r="U24" i="3"/>
  <c r="L113" i="3"/>
  <c r="AA84" i="3"/>
  <c r="W223" i="3"/>
  <c r="P64" i="3"/>
  <c r="S50" i="3"/>
  <c r="F125" i="3"/>
  <c r="AB142" i="3"/>
  <c r="M3" i="3"/>
  <c r="AB193" i="3"/>
  <c r="S34" i="3"/>
  <c r="C108" i="3"/>
  <c r="I74" i="3"/>
  <c r="V91" i="3"/>
  <c r="C227" i="3"/>
  <c r="A223" i="3"/>
  <c r="A105" i="3"/>
  <c r="I96" i="3"/>
  <c r="I82" i="3"/>
  <c r="AD134" i="3"/>
  <c r="N57" i="3"/>
  <c r="T117" i="3"/>
  <c r="A143" i="3"/>
  <c r="J109" i="3"/>
  <c r="A69" i="3"/>
  <c r="E239" i="3"/>
  <c r="B99" i="3"/>
  <c r="M114" i="3"/>
  <c r="V31" i="3"/>
  <c r="O48" i="3"/>
  <c r="R186" i="3"/>
  <c r="K166" i="3"/>
  <c r="S218" i="3"/>
  <c r="N58" i="3"/>
  <c r="N127" i="3"/>
  <c r="W101" i="3"/>
  <c r="I49" i="3"/>
  <c r="D37" i="3"/>
  <c r="F215" i="3"/>
  <c r="T98" i="3"/>
  <c r="F16" i="3"/>
  <c r="G231" i="3"/>
  <c r="B49" i="3"/>
  <c r="AC253" i="3"/>
  <c r="R217" i="3"/>
  <c r="L101" i="3"/>
  <c r="G19" i="3"/>
  <c r="AB167" i="3"/>
  <c r="AB176" i="3"/>
  <c r="AD164" i="3"/>
  <c r="N157" i="3"/>
  <c r="Z9" i="3"/>
  <c r="Q70" i="3"/>
  <c r="AB246" i="3"/>
  <c r="U174" i="3"/>
  <c r="C134" i="3"/>
  <c r="T6" i="3"/>
  <c r="AA102" i="3"/>
  <c r="G217" i="3"/>
  <c r="F229" i="3"/>
  <c r="H97" i="3"/>
  <c r="J156" i="3"/>
  <c r="D100" i="3"/>
  <c r="H99" i="3"/>
  <c r="V231" i="3"/>
  <c r="O102" i="3"/>
  <c r="A94" i="3"/>
  <c r="X201" i="3"/>
  <c r="Q75" i="3"/>
  <c r="U23" i="3"/>
  <c r="Z200" i="3"/>
  <c r="B79" i="3"/>
  <c r="J188" i="3"/>
  <c r="G160" i="3"/>
  <c r="Q31" i="3"/>
  <c r="D178" i="3"/>
  <c r="X225" i="3"/>
  <c r="V125" i="3"/>
  <c r="U190" i="3"/>
  <c r="X31" i="3"/>
  <c r="F108" i="3"/>
  <c r="Y193" i="3"/>
  <c r="P28" i="3"/>
  <c r="L31" i="3"/>
  <c r="V65" i="3"/>
  <c r="H58" i="3"/>
  <c r="X150" i="3"/>
  <c r="B77" i="3"/>
  <c r="L196" i="3"/>
  <c r="Q175" i="3"/>
  <c r="P178" i="3"/>
  <c r="F253" i="3"/>
  <c r="E222" i="3"/>
  <c r="Q16" i="3"/>
  <c r="AB186" i="3"/>
  <c r="F73" i="3"/>
  <c r="T213" i="3"/>
  <c r="Y121" i="3"/>
  <c r="V4" i="3"/>
  <c r="AC116" i="3"/>
  <c r="F212" i="3"/>
  <c r="Q197" i="3"/>
  <c r="X20" i="3"/>
  <c r="AB54" i="3"/>
  <c r="D123" i="3"/>
  <c r="AD120" i="3"/>
  <c r="O228" i="3"/>
  <c r="AC91" i="3"/>
  <c r="L19" i="3"/>
  <c r="B230" i="3"/>
  <c r="C192" i="3"/>
  <c r="Q222" i="3"/>
  <c r="AC161" i="3"/>
  <c r="H46" i="3"/>
  <c r="K189" i="3"/>
  <c r="V183" i="3"/>
  <c r="Z46" i="3"/>
  <c r="X45" i="3"/>
  <c r="AB214" i="3"/>
  <c r="F142" i="3"/>
  <c r="S195" i="3"/>
  <c r="V112" i="3"/>
  <c r="N154" i="3"/>
  <c r="O61" i="3"/>
  <c r="L255" i="3"/>
  <c r="N116" i="3"/>
  <c r="G11" i="3"/>
  <c r="Y28" i="3"/>
  <c r="Y138" i="3"/>
  <c r="X36" i="3"/>
  <c r="V243" i="3"/>
  <c r="B61" i="3"/>
  <c r="C160" i="3"/>
  <c r="J182" i="3"/>
  <c r="U150" i="3"/>
  <c r="I153" i="3"/>
  <c r="AA185" i="3"/>
  <c r="V13" i="3"/>
  <c r="C120" i="3"/>
  <c r="S83" i="3"/>
  <c r="C37" i="3"/>
  <c r="P24" i="3"/>
  <c r="H84" i="3"/>
  <c r="G207" i="3"/>
  <c r="H253" i="3"/>
  <c r="AA74" i="3"/>
  <c r="I61" i="3"/>
  <c r="L242" i="3"/>
  <c r="D146" i="3"/>
  <c r="J217" i="3"/>
  <c r="Q120" i="3"/>
  <c r="T151" i="3"/>
  <c r="X50" i="3"/>
  <c r="H18" i="3"/>
  <c r="V7" i="3"/>
  <c r="AC2" i="3"/>
  <c r="G88" i="3"/>
  <c r="E219" i="3"/>
  <c r="AB11" i="3"/>
  <c r="P13" i="3"/>
  <c r="Y168" i="3"/>
  <c r="O207" i="3"/>
  <c r="R70" i="3"/>
  <c r="I177" i="3"/>
  <c r="J147" i="3"/>
  <c r="F255" i="3"/>
  <c r="R244" i="3"/>
  <c r="C8" i="3"/>
  <c r="N240" i="3"/>
  <c r="AC157" i="3"/>
  <c r="I39" i="3"/>
  <c r="N130" i="3"/>
  <c r="F249" i="3"/>
  <c r="Y180" i="3"/>
  <c r="T240" i="3"/>
  <c r="X199" i="3"/>
  <c r="C247" i="3"/>
  <c r="AD70" i="3"/>
  <c r="F54" i="3"/>
  <c r="Y188" i="3"/>
  <c r="M157" i="3"/>
  <c r="N161" i="3"/>
  <c r="Z206" i="3"/>
  <c r="C86" i="3"/>
  <c r="U207" i="3"/>
  <c r="F113" i="3"/>
  <c r="U140" i="3"/>
  <c r="O121" i="3"/>
  <c r="H104" i="3"/>
  <c r="L82" i="3"/>
  <c r="E218" i="3"/>
  <c r="B84" i="3"/>
  <c r="D244" i="3"/>
  <c r="O125" i="3"/>
  <c r="R77" i="3"/>
  <c r="E129" i="3"/>
  <c r="U200" i="3"/>
  <c r="I155" i="3"/>
  <c r="E245" i="3"/>
  <c r="T236" i="3"/>
  <c r="U204" i="3"/>
  <c r="N202" i="3"/>
  <c r="W187" i="3"/>
  <c r="Y3" i="3"/>
  <c r="AC112" i="3"/>
  <c r="G23" i="3"/>
  <c r="A175" i="3"/>
  <c r="O239" i="3"/>
  <c r="AD212" i="3"/>
  <c r="L105" i="3"/>
  <c r="E190" i="3"/>
  <c r="L134" i="3"/>
  <c r="J50" i="3"/>
  <c r="J199" i="3"/>
  <c r="L140" i="3"/>
  <c r="AB47" i="3"/>
  <c r="W181" i="3"/>
  <c r="F67" i="3"/>
  <c r="Q221" i="3"/>
  <c r="M13" i="3"/>
  <c r="D101" i="3"/>
  <c r="D253" i="3"/>
  <c r="Z103" i="3"/>
  <c r="J209" i="3"/>
  <c r="I173" i="3"/>
  <c r="M100" i="3"/>
  <c r="J43" i="3"/>
  <c r="S113" i="3"/>
  <c r="R103" i="3"/>
  <c r="AD40" i="3"/>
  <c r="P123" i="3"/>
  <c r="O200" i="3"/>
  <c r="M98" i="3"/>
  <c r="V212" i="3"/>
  <c r="G87" i="3"/>
  <c r="O222" i="3"/>
  <c r="Z233" i="3"/>
  <c r="AC227" i="3"/>
  <c r="Y225" i="3"/>
  <c r="N109" i="3"/>
  <c r="L200" i="3"/>
  <c r="H60" i="3"/>
  <c r="H163" i="3"/>
  <c r="K107" i="3"/>
  <c r="H212" i="3"/>
  <c r="K179" i="3"/>
  <c r="U83" i="3"/>
  <c r="E91" i="3"/>
  <c r="K110" i="3"/>
  <c r="E101" i="3"/>
  <c r="C43" i="3"/>
  <c r="AA96" i="3"/>
  <c r="Q52" i="3"/>
  <c r="E66" i="3"/>
  <c r="N168" i="3"/>
  <c r="X244" i="3"/>
  <c r="E173" i="3"/>
  <c r="AA69" i="3"/>
  <c r="B135" i="3"/>
  <c r="K151" i="3"/>
  <c r="O210" i="3"/>
  <c r="H145" i="3"/>
  <c r="C214" i="3"/>
  <c r="X30" i="3"/>
  <c r="E192" i="3"/>
  <c r="P151" i="3"/>
  <c r="Q215" i="3"/>
  <c r="K240" i="3"/>
  <c r="X86" i="3"/>
  <c r="S69" i="3"/>
  <c r="M27" i="3"/>
  <c r="P246" i="3"/>
  <c r="G73" i="3"/>
  <c r="P79" i="3"/>
  <c r="D33" i="3"/>
  <c r="N190" i="3"/>
  <c r="N227" i="3"/>
  <c r="J34" i="3"/>
  <c r="V59" i="3"/>
  <c r="I240" i="3"/>
  <c r="S123" i="3"/>
  <c r="F43" i="3"/>
  <c r="A244" i="3"/>
  <c r="M134" i="3"/>
  <c r="D109" i="3"/>
  <c r="E214" i="3"/>
  <c r="B120" i="3"/>
  <c r="AC246" i="3"/>
  <c r="AB37" i="3"/>
  <c r="Q91" i="3"/>
  <c r="AA16" i="3"/>
  <c r="H47" i="3"/>
  <c r="AD32" i="3"/>
  <c r="Z231" i="3"/>
  <c r="U203" i="3"/>
  <c r="S35" i="3"/>
  <c r="R161" i="3"/>
  <c r="C205" i="3"/>
  <c r="P69" i="3"/>
  <c r="M76" i="3"/>
  <c r="X114" i="3"/>
  <c r="R170" i="3"/>
  <c r="AC198" i="3"/>
  <c r="M178" i="3"/>
  <c r="B23" i="3"/>
  <c r="L166" i="3"/>
  <c r="G185" i="3"/>
  <c r="K99" i="3"/>
  <c r="E68" i="3"/>
  <c r="D154" i="3"/>
  <c r="P102" i="3"/>
  <c r="U132" i="3"/>
  <c r="AD225" i="3"/>
  <c r="Y21" i="3"/>
  <c r="V89" i="3"/>
  <c r="V159" i="3"/>
  <c r="Q255" i="3"/>
  <c r="O223" i="3"/>
  <c r="X71" i="3"/>
  <c r="F134" i="3"/>
  <c r="K222" i="3"/>
  <c r="E78" i="3"/>
  <c r="S80" i="3"/>
  <c r="R167" i="3"/>
  <c r="O220" i="3"/>
  <c r="B102" i="3"/>
  <c r="AA172" i="3"/>
  <c r="AD189" i="3"/>
  <c r="O60" i="3"/>
  <c r="J71" i="3"/>
  <c r="S133" i="3"/>
  <c r="AB75" i="3"/>
  <c r="Y217" i="3"/>
  <c r="E208" i="3"/>
  <c r="Q73" i="3"/>
  <c r="AC207" i="3"/>
  <c r="S98" i="3"/>
  <c r="AA192" i="3"/>
  <c r="N27" i="3"/>
  <c r="F95" i="3"/>
  <c r="M89" i="3"/>
  <c r="H71" i="3"/>
  <c r="R111" i="3"/>
  <c r="N152" i="3"/>
  <c r="AB234" i="3"/>
  <c r="A168" i="3"/>
  <c r="X130" i="3"/>
  <c r="D190" i="3"/>
  <c r="L116" i="3"/>
  <c r="P177" i="3"/>
  <c r="J189" i="3"/>
  <c r="M16" i="3"/>
  <c r="D199" i="3"/>
  <c r="Q181" i="3"/>
  <c r="S99" i="3"/>
  <c r="N193" i="3"/>
  <c r="D252" i="3"/>
  <c r="X22" i="3"/>
  <c r="E181" i="3"/>
  <c r="G63" i="3"/>
  <c r="L209" i="3"/>
  <c r="M192" i="3"/>
  <c r="L141" i="3"/>
  <c r="S185" i="3"/>
  <c r="C73" i="3"/>
  <c r="AC6" i="3"/>
  <c r="S3" i="3"/>
  <c r="V245" i="3"/>
  <c r="H210" i="3"/>
  <c r="C232" i="3"/>
  <c r="V162" i="3"/>
  <c r="F193" i="3"/>
  <c r="R92" i="3"/>
  <c r="E126" i="3"/>
  <c r="R193" i="3"/>
  <c r="I104" i="3"/>
  <c r="R159" i="3"/>
  <c r="T135" i="3"/>
  <c r="C178" i="3"/>
  <c r="P49" i="3"/>
  <c r="J134" i="3"/>
  <c r="C15" i="3"/>
  <c r="O30" i="3"/>
  <c r="AD175" i="3"/>
  <c r="O144" i="3"/>
  <c r="G2" i="3"/>
  <c r="AB145" i="3"/>
  <c r="Z21" i="3"/>
  <c r="S193" i="3"/>
  <c r="I221" i="3"/>
  <c r="K44" i="3"/>
  <c r="AC99" i="3"/>
  <c r="L76" i="3"/>
  <c r="P70" i="3"/>
  <c r="L163" i="3"/>
  <c r="C164" i="3"/>
  <c r="Y32" i="3"/>
  <c r="S205" i="3"/>
  <c r="X153" i="3"/>
  <c r="G165" i="3"/>
  <c r="H38" i="3"/>
  <c r="C195" i="3"/>
  <c r="J85" i="3"/>
  <c r="V141" i="3"/>
  <c r="N7" i="3"/>
  <c r="T134" i="3"/>
  <c r="T142" i="3"/>
  <c r="AC96" i="3"/>
  <c r="U239" i="3"/>
  <c r="E236" i="3"/>
  <c r="N121" i="3"/>
  <c r="Q24" i="3"/>
  <c r="M22" i="3"/>
  <c r="V14" i="3"/>
  <c r="C241" i="3"/>
  <c r="A126" i="3"/>
  <c r="AA64" i="3"/>
  <c r="H19" i="3"/>
  <c r="H245" i="3"/>
  <c r="E61" i="3"/>
  <c r="H168" i="3"/>
  <c r="Z255" i="3"/>
  <c r="AC36" i="3"/>
  <c r="Q53" i="3"/>
  <c r="B249" i="3"/>
  <c r="J2" i="3"/>
  <c r="Y88" i="3"/>
  <c r="F44" i="3"/>
  <c r="I163" i="3"/>
  <c r="AB233" i="3"/>
  <c r="Y27" i="3"/>
  <c r="W120" i="3"/>
  <c r="R94" i="3"/>
  <c r="C177" i="3"/>
  <c r="C251" i="3"/>
  <c r="D132" i="3"/>
  <c r="U63" i="3"/>
  <c r="M113" i="3"/>
  <c r="AC149" i="3"/>
  <c r="E69" i="3"/>
  <c r="H175" i="3"/>
  <c r="X161" i="3"/>
  <c r="F236" i="3"/>
  <c r="R38" i="3"/>
  <c r="G252" i="3"/>
  <c r="N158" i="3"/>
  <c r="B176" i="3"/>
  <c r="H49" i="3"/>
  <c r="U254" i="3"/>
  <c r="O22" i="3"/>
  <c r="A113" i="3"/>
  <c r="H9" i="3"/>
  <c r="J201" i="3"/>
  <c r="U115" i="3"/>
  <c r="U135" i="3"/>
  <c r="B97" i="3"/>
  <c r="M153" i="3"/>
  <c r="L147" i="3"/>
  <c r="N233" i="3"/>
  <c r="A50" i="3"/>
  <c r="J101" i="3"/>
  <c r="I21" i="3"/>
  <c r="H36" i="3"/>
  <c r="P3" i="3"/>
  <c r="X48" i="3"/>
  <c r="V171" i="3"/>
  <c r="W7" i="3"/>
  <c r="P103" i="3"/>
  <c r="Q2" i="3"/>
  <c r="H64" i="3"/>
  <c r="L199" i="3"/>
  <c r="Y160" i="3"/>
  <c r="O189" i="3"/>
  <c r="R15" i="3"/>
  <c r="N14" i="3"/>
  <c r="S12" i="3"/>
  <c r="E37" i="3"/>
  <c r="M39" i="3"/>
  <c r="T7" i="3"/>
  <c r="AC65" i="3"/>
  <c r="W65" i="3"/>
  <c r="X42" i="3"/>
  <c r="E179" i="3"/>
  <c r="X119" i="3"/>
  <c r="L226" i="3"/>
  <c r="Q122" i="3"/>
  <c r="O131" i="3"/>
  <c r="K248" i="3"/>
  <c r="U232" i="3"/>
  <c r="F53" i="3"/>
  <c r="AD27" i="3"/>
  <c r="Y227" i="3"/>
  <c r="F4" i="3"/>
  <c r="Y91" i="3"/>
  <c r="AD75" i="3"/>
  <c r="Z111" i="3"/>
  <c r="C26" i="3"/>
  <c r="T70" i="3"/>
  <c r="AD162" i="3"/>
  <c r="K45" i="3"/>
  <c r="T225" i="3"/>
  <c r="K122" i="3"/>
  <c r="Q19" i="3"/>
  <c r="AC138" i="3"/>
  <c r="E119" i="3"/>
  <c r="L168" i="3"/>
  <c r="Y143" i="3"/>
  <c r="AB89" i="3"/>
  <c r="N54" i="3"/>
  <c r="H52" i="3"/>
  <c r="F219" i="3"/>
  <c r="O64" i="3"/>
  <c r="A101" i="3"/>
  <c r="E92" i="3"/>
  <c r="C242" i="3"/>
  <c r="D227" i="3"/>
  <c r="Y15" i="3"/>
  <c r="W251" i="3"/>
  <c r="H185" i="3"/>
  <c r="D118" i="3"/>
  <c r="N159" i="3"/>
  <c r="P89" i="3"/>
  <c r="V58" i="3"/>
  <c r="AA86" i="3"/>
  <c r="T28" i="3"/>
  <c r="B200" i="3"/>
  <c r="T180" i="3"/>
  <c r="AD50" i="3"/>
  <c r="N118" i="3"/>
  <c r="AD244" i="3"/>
  <c r="I199" i="3"/>
  <c r="F46" i="3"/>
  <c r="F217" i="3"/>
  <c r="K182" i="3"/>
  <c r="Y104" i="3"/>
  <c r="AA242" i="3"/>
  <c r="R52" i="3"/>
  <c r="E48" i="3"/>
  <c r="O182" i="3"/>
  <c r="D23" i="3"/>
  <c r="K91" i="3"/>
  <c r="G42" i="3"/>
  <c r="U62" i="3"/>
  <c r="E39" i="3"/>
  <c r="C7" i="3"/>
  <c r="P187" i="3"/>
  <c r="N144" i="3"/>
  <c r="K103" i="3"/>
  <c r="AA58" i="3"/>
  <c r="F202" i="3"/>
  <c r="G225" i="3"/>
  <c r="G245" i="3"/>
  <c r="D226" i="3"/>
  <c r="AA238" i="3"/>
  <c r="R204" i="3"/>
  <c r="P212" i="3"/>
  <c r="E225" i="3"/>
  <c r="F241" i="3"/>
  <c r="D166" i="3"/>
  <c r="C185" i="3"/>
  <c r="K133" i="3"/>
  <c r="AC81" i="3"/>
  <c r="P51" i="3"/>
  <c r="T83" i="3"/>
  <c r="Y96" i="3"/>
  <c r="C181" i="3"/>
  <c r="Q182" i="3"/>
  <c r="C102" i="3"/>
  <c r="V194" i="3"/>
  <c r="B183" i="3"/>
  <c r="Z203" i="3"/>
  <c r="X126" i="3"/>
  <c r="X216" i="3"/>
  <c r="B60" i="3"/>
  <c r="L110" i="3"/>
  <c r="J139" i="3"/>
  <c r="AB77" i="3"/>
  <c r="H90" i="3"/>
  <c r="T19" i="3"/>
  <c r="F185" i="3"/>
  <c r="G34" i="3"/>
  <c r="F158" i="3"/>
  <c r="AD224" i="3"/>
  <c r="N43" i="3"/>
  <c r="Q141" i="3"/>
  <c r="AB128" i="3"/>
  <c r="AA142" i="3"/>
  <c r="Z22" i="3"/>
  <c r="L92" i="3"/>
  <c r="F133" i="3"/>
  <c r="AC203" i="3"/>
  <c r="Z190" i="3"/>
  <c r="K191" i="3"/>
  <c r="S229" i="3"/>
  <c r="X231" i="3"/>
  <c r="E122" i="3"/>
  <c r="I139" i="3"/>
  <c r="L43" i="3"/>
  <c r="F243" i="3"/>
  <c r="U170" i="3"/>
  <c r="J214" i="3"/>
  <c r="X82" i="3"/>
  <c r="M46" i="3"/>
  <c r="M203" i="3"/>
  <c r="AB211" i="3"/>
  <c r="A33" i="3"/>
  <c r="B179" i="3"/>
  <c r="B54" i="3"/>
  <c r="K230" i="3"/>
  <c r="T207" i="3"/>
  <c r="O113" i="3"/>
  <c r="R182" i="3"/>
  <c r="F12" i="3"/>
  <c r="AD29" i="3"/>
  <c r="E187" i="3"/>
  <c r="M251" i="3"/>
  <c r="V128" i="3"/>
  <c r="M48" i="3"/>
  <c r="AB205" i="3"/>
  <c r="AC33" i="3"/>
  <c r="AA194" i="3"/>
  <c r="R238" i="3"/>
  <c r="N245" i="3"/>
  <c r="E51" i="3"/>
  <c r="C60" i="3"/>
  <c r="W55" i="3"/>
  <c r="T119" i="3"/>
  <c r="P214" i="3"/>
  <c r="K14" i="3"/>
  <c r="AA25" i="3"/>
  <c r="AA124" i="3"/>
  <c r="D106" i="3"/>
  <c r="S224" i="3"/>
  <c r="C31" i="3"/>
  <c r="X80" i="3"/>
  <c r="AC177" i="3"/>
  <c r="P41" i="3"/>
  <c r="T125" i="3"/>
  <c r="T148" i="3"/>
  <c r="R17" i="3"/>
  <c r="W255" i="3"/>
  <c r="AA127" i="3"/>
  <c r="R108" i="3"/>
  <c r="AD3" i="3"/>
  <c r="O83" i="3"/>
  <c r="X251" i="3"/>
  <c r="AA206" i="3"/>
  <c r="I15" i="3"/>
  <c r="J151" i="3"/>
  <c r="T185" i="3"/>
  <c r="K154" i="3"/>
  <c r="K235" i="3"/>
  <c r="L2" i="3"/>
  <c r="I85" i="3"/>
  <c r="O188" i="3"/>
  <c r="I59" i="3"/>
  <c r="Q163" i="3"/>
  <c r="F89" i="3"/>
  <c r="G44" i="3"/>
  <c r="S143" i="3"/>
  <c r="O86" i="3"/>
  <c r="J94" i="3"/>
  <c r="O176" i="3"/>
  <c r="O152" i="3"/>
  <c r="D164" i="3"/>
  <c r="D208" i="3"/>
  <c r="D119" i="3"/>
  <c r="A179" i="3"/>
  <c r="D67" i="3"/>
  <c r="J185" i="3"/>
  <c r="M225" i="3"/>
  <c r="F168" i="3"/>
  <c r="AB216" i="3"/>
  <c r="I160" i="3"/>
  <c r="AD135" i="3"/>
  <c r="M217" i="3"/>
  <c r="N46" i="3"/>
  <c r="H184" i="3"/>
  <c r="T34" i="3"/>
  <c r="AC211" i="3"/>
  <c r="F61" i="3"/>
  <c r="AB126" i="3"/>
  <c r="V136" i="3"/>
  <c r="AD241" i="3"/>
  <c r="T13" i="3"/>
  <c r="A123" i="3"/>
  <c r="S121" i="3"/>
  <c r="O155" i="3"/>
  <c r="K26" i="3"/>
  <c r="I120" i="3"/>
  <c r="L10" i="3"/>
  <c r="I67" i="3"/>
  <c r="AB71" i="3"/>
  <c r="H62" i="3"/>
  <c r="P62" i="3"/>
  <c r="AC39" i="3"/>
  <c r="Q46" i="3"/>
  <c r="V52" i="3"/>
  <c r="Z122" i="3"/>
  <c r="X133" i="3"/>
  <c r="U72" i="3"/>
  <c r="A53" i="3"/>
  <c r="I183" i="3"/>
  <c r="Q248" i="3"/>
  <c r="Z118" i="3"/>
  <c r="AD104" i="3"/>
  <c r="Y77" i="3"/>
  <c r="AC85" i="3"/>
  <c r="X66" i="3"/>
  <c r="AA88" i="3"/>
  <c r="J241" i="3"/>
  <c r="K104" i="3"/>
  <c r="AC165" i="3"/>
  <c r="R185" i="3"/>
  <c r="M248" i="3"/>
  <c r="X222" i="3"/>
  <c r="F195" i="3"/>
  <c r="C174" i="3"/>
  <c r="O148" i="3"/>
  <c r="N162" i="3"/>
  <c r="N31" i="3"/>
  <c r="D69" i="3"/>
  <c r="X215" i="3"/>
  <c r="AB45" i="3"/>
  <c r="AC93" i="3"/>
  <c r="Z121" i="3"/>
  <c r="K169" i="3"/>
  <c r="M148" i="3"/>
  <c r="F57" i="3"/>
  <c r="L9" i="3"/>
  <c r="AA217" i="3"/>
  <c r="R243" i="3"/>
  <c r="R11" i="3"/>
  <c r="H202" i="3"/>
  <c r="Q236" i="3"/>
  <c r="F39" i="3"/>
  <c r="J86" i="3"/>
  <c r="K38" i="3"/>
  <c r="T252" i="3"/>
  <c r="C58" i="3"/>
  <c r="M99" i="3"/>
  <c r="V178" i="3"/>
  <c r="J39" i="3"/>
  <c r="R42" i="3"/>
  <c r="T37" i="3"/>
  <c r="Y158" i="3"/>
  <c r="B137" i="3"/>
  <c r="L42" i="3"/>
  <c r="K245" i="3"/>
  <c r="V153" i="3"/>
  <c r="H61" i="3"/>
  <c r="D34" i="3"/>
  <c r="H244" i="3"/>
  <c r="L162" i="3"/>
  <c r="AD82" i="3"/>
  <c r="R79" i="3"/>
  <c r="D204" i="3"/>
  <c r="K96" i="3"/>
  <c r="I73" i="3"/>
  <c r="A45" i="3"/>
  <c r="D142" i="3"/>
  <c r="P218" i="3"/>
  <c r="B154" i="3"/>
  <c r="R93" i="3"/>
  <c r="A208" i="3"/>
  <c r="J38" i="3"/>
  <c r="E30" i="3"/>
  <c r="F18" i="3"/>
  <c r="U54" i="3"/>
  <c r="R203" i="3"/>
  <c r="C176" i="3"/>
  <c r="AC142" i="3"/>
  <c r="J124" i="3"/>
  <c r="F239" i="3"/>
  <c r="Z176" i="3"/>
  <c r="J149" i="3"/>
  <c r="F51" i="3"/>
  <c r="Y57" i="3"/>
  <c r="I140" i="3"/>
  <c r="F244" i="3"/>
  <c r="L8" i="3"/>
  <c r="N232" i="3"/>
  <c r="R229" i="3"/>
  <c r="C16" i="3"/>
  <c r="AB9" i="3"/>
  <c r="M63" i="3"/>
  <c r="B82" i="3"/>
  <c r="B17" i="3"/>
  <c r="AA147" i="3"/>
  <c r="V105" i="3"/>
  <c r="A6" i="3"/>
  <c r="E35" i="3"/>
  <c r="X220" i="3"/>
  <c r="N226" i="3"/>
  <c r="T209" i="3"/>
  <c r="AA239" i="3"/>
  <c r="Y80" i="3"/>
  <c r="F29" i="3"/>
  <c r="P83" i="3"/>
  <c r="AB161" i="3"/>
  <c r="Q148" i="3"/>
  <c r="W243" i="3"/>
  <c r="AC254" i="3"/>
  <c r="M131" i="3"/>
  <c r="D127" i="3"/>
  <c r="J44" i="3"/>
  <c r="J56" i="3"/>
  <c r="E124" i="3"/>
  <c r="G21" i="3"/>
  <c r="B240" i="3"/>
  <c r="S27" i="3"/>
  <c r="Q30" i="3"/>
  <c r="Q140" i="3"/>
  <c r="Q65" i="3"/>
  <c r="J81" i="3"/>
  <c r="L49" i="3"/>
  <c r="W210" i="3"/>
  <c r="Q41" i="3"/>
  <c r="U162" i="3"/>
  <c r="Z143" i="3"/>
  <c r="AC82" i="3"/>
  <c r="V158" i="3"/>
  <c r="Q71" i="3"/>
  <c r="AC160" i="3"/>
  <c r="A44" i="3"/>
  <c r="K239" i="3"/>
  <c r="H7" i="3"/>
  <c r="AB44" i="3"/>
  <c r="H95" i="3"/>
  <c r="H54" i="3"/>
  <c r="V154" i="3"/>
  <c r="T33" i="3"/>
  <c r="AA175" i="3"/>
  <c r="N68" i="3"/>
  <c r="S172" i="3"/>
  <c r="E166" i="3"/>
  <c r="H76" i="3"/>
  <c r="U11" i="3"/>
  <c r="G206" i="3"/>
  <c r="D173" i="3"/>
  <c r="G248" i="3"/>
  <c r="G29" i="3"/>
  <c r="G197" i="3"/>
  <c r="X184" i="3"/>
  <c r="K213" i="3"/>
  <c r="P106" i="3"/>
  <c r="D194" i="3"/>
  <c r="Z228" i="3"/>
  <c r="I76" i="3"/>
  <c r="N213" i="3"/>
  <c r="X61" i="3"/>
  <c r="H55" i="3"/>
  <c r="R216" i="3"/>
  <c r="A209" i="3"/>
  <c r="B57" i="3"/>
  <c r="R233" i="3"/>
  <c r="I93" i="3"/>
  <c r="Q217" i="3"/>
  <c r="AC56" i="3"/>
  <c r="H135" i="3"/>
  <c r="A100" i="3"/>
  <c r="Y33" i="3"/>
  <c r="O160" i="3"/>
  <c r="V199" i="3"/>
  <c r="F232" i="3"/>
  <c r="D81" i="3"/>
  <c r="AD121" i="3"/>
  <c r="T60" i="3"/>
  <c r="Q224" i="3"/>
  <c r="P8" i="3"/>
  <c r="O118" i="3"/>
  <c r="I210" i="3"/>
  <c r="AA199" i="3"/>
  <c r="M80" i="3"/>
  <c r="T21" i="3"/>
  <c r="Y116" i="3"/>
  <c r="B170" i="3"/>
  <c r="O42" i="3"/>
  <c r="M7" i="3"/>
  <c r="AA119" i="3"/>
  <c r="J171" i="3"/>
  <c r="A250" i="3"/>
  <c r="X195" i="3"/>
  <c r="D245" i="3"/>
  <c r="T52" i="3"/>
  <c r="O173" i="3"/>
  <c r="R156" i="3"/>
  <c r="A75" i="3"/>
  <c r="P132" i="3"/>
  <c r="Y246" i="3"/>
  <c r="AB56" i="3"/>
  <c r="E102" i="3"/>
  <c r="V144" i="3"/>
  <c r="P235" i="3"/>
  <c r="AC34" i="3"/>
  <c r="R225" i="3"/>
  <c r="O133" i="3"/>
  <c r="U220" i="3"/>
  <c r="U168" i="3"/>
  <c r="N223" i="3"/>
  <c r="E64" i="3"/>
  <c r="AC4" i="3"/>
  <c r="Q223" i="3"/>
  <c r="L23" i="3"/>
  <c r="D156" i="3"/>
  <c r="E110" i="3"/>
  <c r="T69" i="3"/>
  <c r="Q249" i="3"/>
  <c r="E114" i="3"/>
  <c r="S232" i="3"/>
  <c r="A202" i="3"/>
  <c r="M214" i="3"/>
  <c r="Z114" i="3"/>
  <c r="W151" i="3"/>
  <c r="F190" i="3"/>
  <c r="H11" i="3"/>
  <c r="Z51" i="3"/>
  <c r="G7" i="3"/>
  <c r="K225" i="3"/>
  <c r="F245" i="3"/>
  <c r="G169" i="3"/>
  <c r="E58" i="3"/>
  <c r="J152" i="3"/>
  <c r="N150" i="3"/>
  <c r="J128" i="3"/>
  <c r="J160" i="3"/>
  <c r="Z174" i="3"/>
  <c r="B109" i="3"/>
  <c r="AA218" i="3"/>
  <c r="N18" i="3"/>
  <c r="T108" i="3"/>
  <c r="A52" i="3"/>
  <c r="U97" i="3"/>
  <c r="B51" i="3"/>
  <c r="R84" i="3"/>
  <c r="AA210" i="3"/>
  <c r="G9" i="3"/>
  <c r="A187" i="3"/>
  <c r="H177" i="3"/>
  <c r="Y144" i="3"/>
  <c r="Q177" i="3"/>
  <c r="M250" i="3"/>
  <c r="T203" i="3"/>
  <c r="AB208" i="3"/>
  <c r="V36" i="3"/>
  <c r="E159" i="3"/>
  <c r="R148" i="3"/>
  <c r="T234" i="3"/>
  <c r="Y2" i="3"/>
  <c r="E206" i="3"/>
  <c r="L100" i="3"/>
  <c r="K75" i="3"/>
  <c r="Y124" i="3"/>
  <c r="N163" i="3"/>
  <c r="E229" i="3"/>
  <c r="AA10" i="3"/>
  <c r="O100" i="3"/>
  <c r="F159" i="3"/>
  <c r="H30" i="3"/>
  <c r="B238" i="3"/>
  <c r="N247" i="3"/>
  <c r="Y41" i="3"/>
  <c r="S32" i="3"/>
  <c r="E191" i="3"/>
  <c r="Y155" i="3"/>
  <c r="AD90" i="3"/>
  <c r="Q147" i="3"/>
  <c r="V131" i="3"/>
  <c r="S166" i="3"/>
  <c r="G57" i="3"/>
  <c r="J87" i="3"/>
  <c r="M194" i="3"/>
  <c r="AC43" i="3"/>
  <c r="P32" i="3"/>
  <c r="V100" i="3"/>
  <c r="G13" i="3"/>
  <c r="L156" i="3"/>
  <c r="O138" i="3"/>
  <c r="D72" i="3"/>
  <c r="I62" i="3"/>
  <c r="K226" i="3"/>
  <c r="H200" i="3"/>
  <c r="L41" i="3"/>
  <c r="D137" i="3"/>
  <c r="K21" i="3"/>
  <c r="S101" i="3"/>
  <c r="Q138" i="3"/>
  <c r="B32" i="3"/>
  <c r="N77" i="3"/>
  <c r="M23" i="3"/>
  <c r="O174" i="3"/>
  <c r="K158" i="3"/>
  <c r="V134" i="3"/>
  <c r="AC146" i="3"/>
  <c r="K94" i="3"/>
  <c r="M186" i="3"/>
  <c r="J203" i="3"/>
  <c r="X212" i="3"/>
  <c r="N133" i="3"/>
  <c r="AB204" i="3"/>
  <c r="G249" i="3"/>
  <c r="B105" i="3"/>
  <c r="H249" i="3"/>
  <c r="S88" i="3"/>
  <c r="Q105" i="3"/>
  <c r="V140" i="3"/>
  <c r="AA33" i="3"/>
  <c r="G62" i="3"/>
  <c r="D230" i="3"/>
  <c r="R62" i="3"/>
  <c r="W230" i="3"/>
  <c r="AB41" i="3"/>
  <c r="J205" i="3"/>
  <c r="Q25" i="3"/>
  <c r="S199" i="3"/>
  <c r="Y134" i="3"/>
  <c r="F237" i="3"/>
  <c r="K13" i="3"/>
  <c r="O23" i="3"/>
  <c r="N212" i="3"/>
  <c r="S56" i="3"/>
  <c r="K30" i="3"/>
  <c r="V130" i="3"/>
  <c r="B250" i="3"/>
  <c r="AC46" i="3"/>
  <c r="B145" i="3"/>
  <c r="T160" i="3"/>
  <c r="J93" i="3"/>
  <c r="R54" i="3"/>
  <c r="M9" i="3"/>
  <c r="R184" i="3"/>
  <c r="D102" i="3"/>
  <c r="AA204" i="3"/>
  <c r="K129" i="3"/>
  <c r="Q218" i="3"/>
  <c r="K180" i="3"/>
  <c r="X226" i="3"/>
  <c r="W14" i="3"/>
  <c r="K88" i="3"/>
  <c r="P75" i="3"/>
  <c r="M74" i="3"/>
  <c r="AD221" i="3"/>
  <c r="AC231" i="3"/>
  <c r="AC41" i="3"/>
  <c r="W232" i="3"/>
  <c r="P137" i="3"/>
  <c r="AB131" i="3"/>
  <c r="C23" i="3"/>
  <c r="AC145" i="3"/>
  <c r="Q244" i="3"/>
  <c r="G98" i="3"/>
  <c r="L184" i="3"/>
  <c r="W212" i="3"/>
  <c r="A229" i="3"/>
  <c r="Q173" i="3"/>
  <c r="N203" i="3"/>
  <c r="H229" i="3"/>
  <c r="N229" i="3"/>
  <c r="L34" i="3"/>
  <c r="E147" i="3"/>
  <c r="L142" i="3"/>
  <c r="I19" i="3"/>
  <c r="Z211" i="3"/>
  <c r="T100" i="3"/>
  <c r="N208" i="3"/>
  <c r="A130" i="3"/>
  <c r="AB7" i="3"/>
  <c r="R180" i="3"/>
  <c r="D243" i="3"/>
  <c r="W235" i="3"/>
  <c r="H3" i="3"/>
  <c r="Z252" i="3"/>
  <c r="I128" i="3"/>
  <c r="AC24" i="3"/>
  <c r="AD126" i="3"/>
  <c r="K105" i="3"/>
  <c r="P101" i="3"/>
  <c r="B149" i="3"/>
  <c r="Y18" i="3"/>
  <c r="R43" i="3"/>
  <c r="AC238" i="3"/>
  <c r="X58" i="3"/>
  <c r="AA240" i="3"/>
  <c r="AB159" i="3"/>
  <c r="X155" i="3"/>
  <c r="J250" i="3"/>
  <c r="AA21" i="3"/>
  <c r="M242" i="3"/>
  <c r="D128" i="3"/>
  <c r="P20" i="3"/>
  <c r="F93" i="3"/>
  <c r="N73" i="3"/>
  <c r="N23" i="3"/>
  <c r="Z137" i="3"/>
  <c r="V28" i="3"/>
  <c r="Y239" i="3"/>
  <c r="AC235" i="3"/>
  <c r="C117" i="3"/>
  <c r="X255" i="3"/>
  <c r="N49" i="3"/>
  <c r="B202" i="3"/>
  <c r="J82" i="3"/>
  <c r="F85" i="3"/>
  <c r="S235" i="3"/>
  <c r="C104" i="3"/>
  <c r="T110" i="3"/>
  <c r="Y120" i="3"/>
  <c r="AA120" i="3"/>
  <c r="C209" i="3"/>
  <c r="Z79" i="3"/>
  <c r="L12" i="3"/>
  <c r="D247" i="3"/>
  <c r="B12" i="3"/>
  <c r="Y87" i="3"/>
  <c r="AD154" i="3"/>
  <c r="J245" i="3"/>
  <c r="A240" i="3"/>
  <c r="M58" i="3"/>
  <c r="G111" i="3"/>
  <c r="AA255" i="3"/>
  <c r="L73" i="3"/>
  <c r="Q184" i="3"/>
  <c r="E108" i="3"/>
  <c r="AA57" i="3"/>
  <c r="H235" i="3"/>
  <c r="AC136" i="3"/>
  <c r="Q125" i="3"/>
  <c r="F7" i="3"/>
  <c r="B81" i="3"/>
  <c r="D222" i="3"/>
  <c r="Z180" i="3"/>
  <c r="Z201" i="3"/>
  <c r="H80" i="3"/>
  <c r="C159" i="3"/>
  <c r="F187" i="3"/>
  <c r="P63" i="3"/>
  <c r="F27" i="3"/>
  <c r="E136" i="3"/>
  <c r="Z12" i="3"/>
  <c r="T176" i="3"/>
  <c r="K198" i="3"/>
  <c r="P84" i="3"/>
  <c r="I50" i="3"/>
  <c r="K161" i="3"/>
  <c r="D51" i="3"/>
  <c r="H43" i="3"/>
  <c r="R215" i="3"/>
  <c r="AB63" i="3"/>
  <c r="E233" i="3"/>
  <c r="AB116" i="3"/>
  <c r="AD167" i="3"/>
  <c r="E23" i="3"/>
  <c r="W208" i="3"/>
  <c r="AB200" i="3"/>
  <c r="Q199" i="3"/>
  <c r="Y12" i="3"/>
  <c r="I216" i="3"/>
  <c r="N82" i="3"/>
  <c r="X147" i="3"/>
  <c r="U81" i="3"/>
  <c r="J219" i="3"/>
  <c r="Z35" i="3"/>
  <c r="E169" i="3"/>
  <c r="W51" i="3"/>
  <c r="O141" i="3"/>
  <c r="P156" i="3"/>
  <c r="U193" i="3"/>
  <c r="A12" i="3"/>
  <c r="J66" i="3"/>
  <c r="H158" i="3"/>
  <c r="P191" i="3"/>
  <c r="D40" i="3"/>
  <c r="N179" i="3"/>
  <c r="P145" i="3"/>
  <c r="X233" i="3"/>
  <c r="F118" i="3"/>
  <c r="T101" i="3"/>
  <c r="M167" i="3"/>
  <c r="M139" i="3"/>
  <c r="M50" i="3"/>
  <c r="X250" i="3"/>
  <c r="G179" i="3"/>
  <c r="A158" i="3"/>
  <c r="N211" i="3"/>
  <c r="O129" i="3"/>
  <c r="L78" i="3"/>
  <c r="B161" i="3"/>
  <c r="O145" i="3"/>
  <c r="I31" i="3"/>
  <c r="W238" i="3"/>
  <c r="F99" i="3"/>
  <c r="I69" i="3"/>
  <c r="F83" i="3"/>
  <c r="F28" i="3"/>
  <c r="G146" i="3"/>
  <c r="F32" i="3"/>
  <c r="R117" i="3"/>
  <c r="B243" i="3"/>
  <c r="C234" i="3"/>
  <c r="I174" i="3"/>
  <c r="L11" i="3"/>
  <c r="B218" i="3"/>
  <c r="K217" i="3"/>
  <c r="AB250" i="3"/>
  <c r="L187" i="3"/>
  <c r="G145" i="3"/>
  <c r="J177" i="3"/>
  <c r="G159" i="3"/>
  <c r="W93" i="3"/>
  <c r="R56" i="3"/>
  <c r="P251" i="3"/>
  <c r="D50" i="3"/>
  <c r="G212" i="3"/>
  <c r="AC110" i="3"/>
  <c r="H215" i="3"/>
  <c r="AA244" i="3"/>
  <c r="G28" i="3"/>
  <c r="S71" i="3"/>
  <c r="K83" i="3"/>
  <c r="AA201" i="3"/>
  <c r="AC86" i="3"/>
  <c r="X40" i="3"/>
  <c r="D30" i="3"/>
  <c r="G118" i="3"/>
  <c r="J186" i="3"/>
  <c r="S188" i="3"/>
  <c r="F117" i="3"/>
  <c r="G181" i="3"/>
  <c r="AD196" i="3"/>
  <c r="R49" i="3"/>
  <c r="K116" i="3"/>
  <c r="V111" i="3"/>
  <c r="C139" i="3"/>
  <c r="AB242" i="3"/>
  <c r="K160" i="3"/>
  <c r="K31" i="3"/>
  <c r="Z11" i="3"/>
  <c r="V35" i="3"/>
  <c r="P31" i="3"/>
  <c r="F208" i="3"/>
  <c r="H234" i="3"/>
  <c r="G161" i="3"/>
  <c r="AD118" i="3"/>
  <c r="F162" i="3"/>
  <c r="O69" i="3"/>
  <c r="B71" i="3"/>
  <c r="A88" i="3"/>
  <c r="U231" i="3"/>
  <c r="K219" i="3"/>
  <c r="AD147" i="3"/>
  <c r="N173" i="3"/>
  <c r="Z250" i="3"/>
  <c r="A188" i="3"/>
  <c r="J41" i="3"/>
  <c r="K251" i="3"/>
  <c r="AB23" i="3"/>
  <c r="W12" i="3"/>
  <c r="J84" i="3"/>
  <c r="H203" i="3"/>
  <c r="W29" i="3"/>
  <c r="H86" i="3"/>
  <c r="A92" i="3"/>
  <c r="V248" i="3"/>
  <c r="AD14" i="3"/>
  <c r="T217" i="3"/>
  <c r="K212" i="3"/>
  <c r="J37" i="3"/>
  <c r="J116" i="3"/>
  <c r="K138" i="3"/>
  <c r="M213" i="3"/>
  <c r="AC220" i="3"/>
  <c r="AB222" i="3"/>
  <c r="AB239" i="3"/>
  <c r="R144" i="3"/>
  <c r="AA118" i="3"/>
  <c r="J30" i="3"/>
  <c r="A141" i="3"/>
  <c r="Y174" i="3"/>
  <c r="W171" i="3"/>
  <c r="Q88" i="3"/>
  <c r="W64" i="3"/>
  <c r="T169" i="3"/>
  <c r="F213" i="3"/>
  <c r="M190" i="3"/>
  <c r="G164" i="3"/>
  <c r="C161" i="3"/>
  <c r="R220" i="3"/>
  <c r="I83" i="3"/>
  <c r="M155" i="3"/>
  <c r="M165" i="3"/>
  <c r="L47" i="3"/>
  <c r="J247" i="3"/>
  <c r="O217" i="3"/>
  <c r="B134" i="3"/>
  <c r="O128" i="3"/>
  <c r="B207" i="3"/>
  <c r="AD240" i="3"/>
  <c r="AA152" i="3"/>
  <c r="V176" i="3"/>
  <c r="K220" i="3"/>
  <c r="O132" i="3"/>
  <c r="B42" i="3"/>
  <c r="P119" i="3"/>
  <c r="K188" i="3"/>
  <c r="P74" i="3"/>
  <c r="D56" i="3"/>
  <c r="AC22" i="3"/>
  <c r="R145" i="3"/>
  <c r="V215" i="3"/>
  <c r="S4" i="3"/>
  <c r="B224" i="3"/>
  <c r="T189" i="3"/>
  <c r="K51" i="3"/>
  <c r="T89" i="3"/>
  <c r="T112" i="3"/>
  <c r="C152" i="3"/>
  <c r="Z53" i="3"/>
  <c r="C39" i="3"/>
  <c r="B148" i="3"/>
  <c r="Q166" i="3"/>
  <c r="V77" i="3"/>
  <c r="R89" i="3"/>
  <c r="I46" i="3"/>
  <c r="M143" i="3"/>
  <c r="Q154" i="3"/>
  <c r="V18" i="3"/>
  <c r="Q135" i="3"/>
  <c r="X21" i="3"/>
  <c r="AD129" i="3"/>
  <c r="P71" i="3"/>
  <c r="V79" i="3"/>
  <c r="I176" i="3"/>
  <c r="S114" i="3"/>
  <c r="J146" i="3"/>
  <c r="Z166" i="3"/>
  <c r="Z227" i="3"/>
  <c r="AD159" i="3"/>
  <c r="AB175" i="3"/>
  <c r="N228" i="3"/>
  <c r="Q146" i="3"/>
  <c r="S24" i="3"/>
  <c r="H70" i="3"/>
  <c r="R104" i="3"/>
  <c r="AC78" i="3"/>
  <c r="B68" i="3"/>
  <c r="K159" i="3"/>
  <c r="F10" i="3"/>
  <c r="H28" i="3"/>
  <c r="E47" i="3"/>
  <c r="W100" i="3"/>
  <c r="F189" i="3"/>
  <c r="S210" i="3"/>
  <c r="I12" i="3"/>
  <c r="Y117" i="3"/>
  <c r="B130" i="3"/>
  <c r="C156" i="3"/>
  <c r="W92" i="3"/>
  <c r="P210" i="3"/>
  <c r="F81" i="3"/>
  <c r="B52" i="3"/>
  <c r="AB232" i="3"/>
  <c r="D121" i="3"/>
  <c r="O135" i="3"/>
  <c r="X53" i="3"/>
  <c r="F11" i="3"/>
  <c r="AB231" i="3"/>
  <c r="U16" i="3"/>
  <c r="M65" i="3"/>
  <c r="E113" i="3"/>
  <c r="Z69" i="3"/>
  <c r="T111" i="3"/>
  <c r="P100" i="3"/>
  <c r="G193" i="3"/>
  <c r="X122" i="3"/>
  <c r="A22" i="3"/>
  <c r="M239" i="3"/>
  <c r="R128" i="3"/>
  <c r="AB196" i="3"/>
  <c r="M196" i="3"/>
  <c r="D44" i="3"/>
  <c r="Y130" i="3"/>
  <c r="O92" i="3"/>
  <c r="AA60" i="3"/>
  <c r="R129" i="3"/>
  <c r="AC28" i="3"/>
  <c r="H120" i="3"/>
  <c r="A161" i="3"/>
  <c r="O204" i="3"/>
  <c r="O134" i="3"/>
  <c r="X210" i="3"/>
  <c r="P195" i="3"/>
  <c r="N138" i="3"/>
  <c r="T91" i="3"/>
  <c r="H246" i="3"/>
  <c r="AB90" i="3"/>
  <c r="J105" i="3"/>
  <c r="D149" i="3"/>
  <c r="J6" i="3"/>
  <c r="E40" i="3"/>
  <c r="E22" i="3"/>
  <c r="O40" i="3"/>
  <c r="G240" i="3"/>
  <c r="J99" i="3"/>
  <c r="AD93" i="3"/>
  <c r="Y11" i="3"/>
  <c r="F128" i="3"/>
  <c r="M43" i="3"/>
  <c r="Z253" i="3"/>
  <c r="X206" i="3"/>
  <c r="R169" i="3"/>
  <c r="B47" i="3"/>
  <c r="W197" i="3"/>
  <c r="H112" i="3"/>
  <c r="T152" i="3"/>
  <c r="AC98" i="3"/>
  <c r="AB223" i="3"/>
  <c r="B190" i="3"/>
  <c r="AB230" i="3"/>
  <c r="Y195" i="3"/>
  <c r="AD71" i="3"/>
  <c r="E96" i="3"/>
  <c r="E112" i="3"/>
  <c r="B244" i="3"/>
  <c r="Z205" i="3"/>
  <c r="J220" i="3"/>
  <c r="W124" i="3"/>
  <c r="P248" i="3"/>
  <c r="P92" i="3"/>
  <c r="S149" i="3"/>
  <c r="Y50" i="3"/>
  <c r="AD208" i="3"/>
  <c r="P12" i="3"/>
  <c r="J121" i="3"/>
  <c r="M216" i="3"/>
  <c r="AD26" i="3"/>
  <c r="R26" i="3"/>
  <c r="O255" i="3"/>
  <c r="AD246" i="3"/>
  <c r="E196" i="3"/>
  <c r="U246" i="3"/>
  <c r="AA191" i="3"/>
  <c r="R72" i="3"/>
  <c r="N146" i="3"/>
  <c r="Q178" i="3"/>
  <c r="Y252" i="3"/>
  <c r="F184" i="3"/>
  <c r="AC57" i="3"/>
  <c r="V70" i="3"/>
  <c r="AC9" i="3"/>
  <c r="G10" i="3"/>
  <c r="P171" i="3"/>
  <c r="R137" i="3"/>
  <c r="A64" i="3"/>
  <c r="H252" i="3"/>
  <c r="J57" i="3"/>
  <c r="AB180" i="3"/>
  <c r="AB164" i="3"/>
  <c r="J144" i="3"/>
  <c r="J108" i="3"/>
  <c r="L227" i="3"/>
  <c r="I40" i="3"/>
  <c r="Q157" i="3"/>
  <c r="Z133" i="3"/>
  <c r="K49" i="3"/>
  <c r="W154" i="3"/>
  <c r="D90" i="3"/>
  <c r="AA29" i="3"/>
  <c r="T66" i="3"/>
  <c r="AD20" i="3"/>
  <c r="X188" i="3"/>
  <c r="N113" i="3"/>
  <c r="J29" i="3"/>
  <c r="B159" i="3"/>
  <c r="G17" i="3"/>
  <c r="I251" i="3"/>
  <c r="AA15" i="3"/>
  <c r="K60" i="3"/>
  <c r="U45" i="3"/>
  <c r="AB6" i="3"/>
  <c r="I212" i="3"/>
  <c r="B181" i="3"/>
  <c r="X166" i="3"/>
  <c r="K202" i="3"/>
  <c r="S36" i="3"/>
  <c r="U249" i="3"/>
  <c r="N172" i="3"/>
  <c r="O84" i="3"/>
  <c r="Y16" i="3"/>
  <c r="B85" i="3"/>
  <c r="Q119" i="3"/>
  <c r="K76" i="3"/>
  <c r="A29" i="3"/>
  <c r="N160" i="3"/>
  <c r="U197" i="3"/>
  <c r="AD92" i="3"/>
  <c r="A153" i="3"/>
  <c r="N137" i="3"/>
  <c r="Z4" i="3"/>
  <c r="K131" i="3"/>
  <c r="P7" i="3"/>
  <c r="F206" i="3"/>
  <c r="AA30" i="3"/>
  <c r="L26" i="3"/>
  <c r="H162" i="3"/>
  <c r="O219" i="3"/>
  <c r="Q45" i="3"/>
  <c r="R143" i="3"/>
  <c r="N22" i="3"/>
  <c r="Q253" i="3"/>
  <c r="S105" i="3"/>
  <c r="AC184" i="3"/>
  <c r="D176" i="3"/>
  <c r="AB183" i="3"/>
  <c r="M29" i="3"/>
  <c r="X67" i="3"/>
  <c r="M68" i="3"/>
  <c r="S109" i="3"/>
  <c r="Z210" i="3"/>
  <c r="S93" i="3"/>
  <c r="S239" i="3"/>
  <c r="A249" i="3"/>
  <c r="AC234" i="3"/>
  <c r="AD17" i="3"/>
  <c r="AB162" i="3"/>
  <c r="X230" i="3"/>
  <c r="U74" i="3"/>
  <c r="U47" i="3"/>
  <c r="AC89" i="3"/>
  <c r="O81" i="3"/>
  <c r="X162" i="3"/>
  <c r="J16" i="3"/>
  <c r="Z241" i="3"/>
  <c r="X91" i="3"/>
  <c r="M140" i="3"/>
  <c r="W60" i="3"/>
  <c r="D68" i="3"/>
  <c r="C229" i="3"/>
  <c r="R121" i="3"/>
  <c r="T24" i="3"/>
  <c r="I165" i="3"/>
  <c r="AA252" i="3"/>
  <c r="AC38" i="3"/>
  <c r="AB226" i="3"/>
  <c r="P45" i="3"/>
  <c r="P133" i="3"/>
  <c r="B150" i="3"/>
  <c r="V81" i="3"/>
  <c r="S168" i="3"/>
  <c r="Q63" i="3"/>
  <c r="AC219" i="3"/>
  <c r="F233" i="3"/>
  <c r="M253" i="3"/>
  <c r="N204" i="3"/>
  <c r="AD19" i="3"/>
  <c r="L172" i="3"/>
  <c r="Z40" i="3"/>
  <c r="Z76" i="3"/>
  <c r="Z152" i="3"/>
  <c r="P96" i="3"/>
  <c r="D41" i="3"/>
  <c r="N209" i="3"/>
  <c r="AC255" i="3"/>
  <c r="M218" i="3"/>
  <c r="P207" i="3"/>
  <c r="F70" i="3"/>
  <c r="Y169" i="3"/>
  <c r="N252" i="3"/>
  <c r="U109" i="3"/>
  <c r="Z193" i="3"/>
  <c r="H24" i="3"/>
  <c r="F172" i="3"/>
  <c r="X3" i="3"/>
  <c r="A145" i="3"/>
  <c r="D196" i="3"/>
  <c r="Y251" i="3"/>
  <c r="F92" i="3"/>
  <c r="AC30" i="3"/>
  <c r="AD233" i="3"/>
  <c r="Q96" i="3"/>
  <c r="G222" i="3"/>
  <c r="G6" i="3"/>
  <c r="I20" i="3"/>
  <c r="Z208" i="3"/>
  <c r="T14" i="3"/>
  <c r="S48" i="3"/>
  <c r="R155" i="3"/>
  <c r="AC108" i="3"/>
  <c r="E204" i="3"/>
  <c r="P247" i="3"/>
  <c r="V109" i="3"/>
  <c r="V42" i="3"/>
  <c r="P188" i="3"/>
  <c r="E240" i="3"/>
  <c r="N13" i="3"/>
  <c r="D240" i="3"/>
  <c r="AA214" i="3"/>
  <c r="H123" i="3"/>
  <c r="C85" i="3"/>
  <c r="X249" i="3"/>
  <c r="S141" i="3"/>
  <c r="AB168" i="3"/>
  <c r="M141" i="3"/>
  <c r="S87" i="3"/>
  <c r="O111" i="3"/>
  <c r="J208" i="3"/>
  <c r="A156" i="3"/>
  <c r="L212" i="3"/>
  <c r="AC48" i="3"/>
  <c r="T251" i="3"/>
  <c r="O190" i="3"/>
  <c r="F33" i="3"/>
  <c r="D116" i="3"/>
  <c r="U55" i="3"/>
  <c r="AC20" i="3"/>
  <c r="B215" i="3"/>
  <c r="C126" i="3"/>
  <c r="H183" i="3"/>
  <c r="V95" i="3"/>
  <c r="Y215" i="3"/>
  <c r="T72" i="3"/>
  <c r="R181" i="3"/>
  <c r="Y166" i="3"/>
  <c r="AD58" i="3"/>
  <c r="K57" i="3"/>
  <c r="H206" i="3"/>
  <c r="C100" i="3"/>
  <c r="R32" i="3"/>
  <c r="G157" i="3"/>
  <c r="AB112" i="3"/>
  <c r="N224" i="3"/>
  <c r="B229" i="3"/>
  <c r="X75" i="3"/>
  <c r="Y90" i="3"/>
  <c r="P197" i="3"/>
  <c r="D73" i="3"/>
  <c r="O168" i="3"/>
  <c r="R135" i="3"/>
  <c r="J176" i="3"/>
  <c r="U7" i="3"/>
  <c r="V161" i="3"/>
  <c r="C238" i="3"/>
  <c r="A19" i="3"/>
  <c r="Z217" i="3"/>
  <c r="Y36" i="3"/>
  <c r="L203" i="3"/>
  <c r="W4" i="3"/>
  <c r="G151" i="3"/>
  <c r="F98" i="3"/>
  <c r="S66" i="3"/>
  <c r="AD10" i="3"/>
  <c r="AB120" i="3"/>
  <c r="U65" i="3"/>
  <c r="I162" i="3"/>
  <c r="J236" i="3"/>
  <c r="Q209" i="3"/>
  <c r="Y128" i="3"/>
  <c r="F21" i="3"/>
  <c r="AC175" i="3"/>
  <c r="T227" i="3"/>
  <c r="U159" i="3"/>
  <c r="AB26" i="3"/>
  <c r="J153" i="3"/>
  <c r="D74" i="3"/>
  <c r="AB51" i="3"/>
  <c r="AA3" i="3"/>
  <c r="Z242" i="3"/>
  <c r="D57" i="3"/>
  <c r="Q101" i="3"/>
  <c r="D237" i="3"/>
  <c r="B83" i="3"/>
  <c r="N199" i="3"/>
  <c r="V23" i="3"/>
  <c r="AA125" i="3"/>
  <c r="Q68" i="3"/>
  <c r="S33" i="3"/>
  <c r="F226" i="3"/>
  <c r="Q180" i="3"/>
  <c r="AB121" i="3"/>
  <c r="S120" i="3"/>
  <c r="S207" i="3"/>
  <c r="C18" i="3"/>
  <c r="Q104" i="3"/>
  <c r="AB123" i="3"/>
  <c r="R198" i="3"/>
  <c r="AC128" i="3"/>
  <c r="I213" i="3"/>
  <c r="AC68" i="3"/>
  <c r="O198" i="3"/>
  <c r="S79" i="3"/>
  <c r="G236" i="3"/>
  <c r="N122" i="3"/>
  <c r="A18" i="3"/>
  <c r="AB229" i="3"/>
  <c r="B13" i="3"/>
  <c r="V173" i="3"/>
  <c r="L246" i="3"/>
  <c r="B236" i="3"/>
  <c r="S204" i="3"/>
  <c r="S173" i="3"/>
  <c r="U86" i="3"/>
  <c r="E43" i="3"/>
  <c r="E38" i="3"/>
  <c r="AC102" i="3"/>
  <c r="I58" i="3"/>
  <c r="R64" i="3"/>
  <c r="Y211" i="3"/>
  <c r="AD197" i="3"/>
  <c r="AC196" i="3"/>
  <c r="N126" i="3"/>
  <c r="U39" i="3"/>
  <c r="R27" i="3"/>
  <c r="AD11" i="3"/>
  <c r="X187" i="3"/>
  <c r="T65" i="3"/>
  <c r="AD41" i="3"/>
  <c r="R196" i="3"/>
  <c r="U28" i="3"/>
  <c r="I148" i="3"/>
  <c r="Z234" i="3"/>
  <c r="K250" i="3"/>
  <c r="R200" i="3"/>
  <c r="F201" i="3"/>
  <c r="V189" i="3"/>
  <c r="H32" i="3"/>
  <c r="S221" i="3"/>
  <c r="V202" i="3"/>
  <c r="D163" i="3"/>
  <c r="P222" i="3"/>
  <c r="W253" i="3"/>
  <c r="K128" i="3"/>
  <c r="AA73" i="3"/>
  <c r="P181" i="3"/>
  <c r="J33" i="3"/>
  <c r="G211" i="3"/>
  <c r="T64" i="3"/>
  <c r="AA187" i="3"/>
  <c r="D120" i="3"/>
  <c r="O78" i="3"/>
  <c r="U51" i="3"/>
  <c r="C197" i="3"/>
  <c r="I26" i="3"/>
  <c r="AA203" i="3"/>
  <c r="X213" i="3"/>
  <c r="K85" i="3"/>
  <c r="AA44" i="3"/>
  <c r="A142" i="3"/>
  <c r="H133" i="3"/>
  <c r="T201" i="3"/>
  <c r="AC190" i="3"/>
  <c r="W137" i="3"/>
  <c r="L218" i="3"/>
  <c r="J170" i="3"/>
  <c r="C44" i="3"/>
  <c r="T31" i="3"/>
  <c r="D38" i="3"/>
  <c r="E163" i="3"/>
  <c r="R168" i="3"/>
  <c r="E247" i="3"/>
  <c r="W206" i="3"/>
  <c r="L53" i="3"/>
  <c r="V205" i="3"/>
  <c r="T141" i="3"/>
  <c r="O184" i="3"/>
  <c r="C29" i="3"/>
  <c r="AC69" i="3"/>
  <c r="B144" i="3"/>
  <c r="B233" i="3"/>
  <c r="E152" i="3"/>
  <c r="L251" i="3"/>
  <c r="K147" i="3"/>
  <c r="I17" i="3"/>
  <c r="C94" i="3"/>
  <c r="Q192" i="3"/>
  <c r="H105" i="3"/>
  <c r="X73" i="3"/>
  <c r="Y109" i="3"/>
  <c r="AA249" i="3"/>
  <c r="G223" i="3"/>
  <c r="Q235" i="3"/>
  <c r="AD144" i="3"/>
  <c r="B171" i="3"/>
  <c r="AD133" i="3"/>
  <c r="U114" i="3"/>
  <c r="O72" i="3"/>
  <c r="T90" i="3"/>
  <c r="E45" i="3"/>
  <c r="T56" i="3"/>
  <c r="X178" i="3"/>
  <c r="AD201" i="3"/>
  <c r="T150" i="3"/>
  <c r="S180" i="3"/>
  <c r="E28" i="3"/>
  <c r="F56" i="3"/>
  <c r="AA135" i="3"/>
  <c r="F14" i="3"/>
  <c r="P113" i="3"/>
  <c r="AD81" i="3"/>
  <c r="L95" i="3"/>
  <c r="Q232" i="3"/>
  <c r="K253" i="3"/>
  <c r="L215" i="3"/>
  <c r="S190" i="3"/>
  <c r="D180" i="3"/>
  <c r="W106" i="3"/>
  <c r="M173" i="3"/>
  <c r="J154" i="3"/>
  <c r="M33" i="3"/>
  <c r="D134" i="3"/>
  <c r="Y233" i="3"/>
  <c r="C66" i="3"/>
  <c r="T255" i="3"/>
  <c r="AB227" i="3"/>
  <c r="E71" i="3"/>
  <c r="P90" i="3"/>
  <c r="X116" i="3"/>
  <c r="O109" i="3"/>
  <c r="W175" i="3"/>
  <c r="G194" i="3"/>
  <c r="W49" i="3"/>
  <c r="R30" i="3"/>
  <c r="AD16" i="3"/>
  <c r="W91" i="3"/>
  <c r="F86" i="3"/>
  <c r="Z235" i="3"/>
  <c r="F247" i="3"/>
  <c r="D151" i="3"/>
  <c r="AD157" i="3"/>
  <c r="Y31" i="3"/>
  <c r="I188" i="3"/>
  <c r="M32" i="3"/>
  <c r="T92" i="3"/>
  <c r="R172" i="3"/>
  <c r="AC87" i="3"/>
  <c r="N124" i="3"/>
  <c r="W36" i="3"/>
  <c r="AC188" i="3"/>
  <c r="W254" i="3"/>
  <c r="J234" i="3"/>
  <c r="V230" i="3"/>
  <c r="AC250" i="3"/>
  <c r="B242" i="3"/>
  <c r="I89" i="3"/>
  <c r="T184" i="3"/>
  <c r="Q129" i="3"/>
  <c r="X98" i="3"/>
  <c r="AD117" i="3"/>
  <c r="I48" i="3"/>
  <c r="S201" i="3"/>
  <c r="AA166" i="3"/>
  <c r="G46" i="3"/>
  <c r="S212" i="3"/>
  <c r="Y234" i="3"/>
  <c r="D114" i="3"/>
  <c r="N19" i="3"/>
  <c r="AD210" i="3"/>
  <c r="V26" i="3"/>
  <c r="P121" i="3"/>
  <c r="O47" i="3"/>
  <c r="V78" i="3"/>
  <c r="L137" i="3"/>
  <c r="K54" i="3"/>
  <c r="I206" i="3"/>
  <c r="T221" i="3"/>
  <c r="S175" i="3"/>
  <c r="G66" i="3"/>
  <c r="M129" i="3"/>
  <c r="N15" i="3"/>
  <c r="K25" i="3"/>
  <c r="C76" i="3"/>
  <c r="K195" i="3"/>
  <c r="I159" i="3"/>
  <c r="L16" i="3"/>
  <c r="L124" i="3"/>
  <c r="E34" i="3"/>
  <c r="AC18" i="3"/>
  <c r="I201" i="3"/>
  <c r="L177" i="3"/>
  <c r="AD153" i="3"/>
  <c r="D206" i="3"/>
  <c r="U251" i="3"/>
  <c r="S67" i="3"/>
  <c r="G143" i="3"/>
  <c r="S129" i="3"/>
  <c r="P21" i="3"/>
  <c r="S189" i="3"/>
  <c r="Q50" i="3"/>
  <c r="U80" i="3"/>
  <c r="X124" i="3"/>
  <c r="C237" i="3"/>
  <c r="E135" i="3"/>
  <c r="L192" i="3"/>
  <c r="D214" i="3"/>
  <c r="E178" i="3"/>
  <c r="Y108" i="3"/>
  <c r="Y127" i="3"/>
  <c r="M137" i="3"/>
  <c r="R96" i="3"/>
  <c r="A246" i="3"/>
  <c r="N210" i="3"/>
  <c r="AB209" i="3"/>
  <c r="W163" i="3"/>
  <c r="U123" i="3"/>
  <c r="U198" i="3"/>
  <c r="U158" i="3"/>
  <c r="G81" i="3"/>
  <c r="M14" i="3"/>
  <c r="X234" i="3"/>
  <c r="B96" i="3"/>
  <c r="C175" i="3"/>
  <c r="H238" i="3"/>
  <c r="D152" i="3"/>
  <c r="R241" i="3"/>
  <c r="AA7" i="3"/>
  <c r="R67" i="3"/>
  <c r="X39" i="3"/>
  <c r="N230" i="3"/>
  <c r="C219" i="3"/>
  <c r="K109" i="3"/>
  <c r="W32" i="3"/>
  <c r="AB18" i="3"/>
  <c r="S92" i="3"/>
  <c r="M145" i="3"/>
  <c r="L208" i="3"/>
  <c r="X95" i="3"/>
  <c r="X242" i="3"/>
  <c r="A133" i="3"/>
  <c r="K101" i="3"/>
  <c r="C2" i="3"/>
  <c r="X100" i="3"/>
  <c r="L216" i="3"/>
  <c r="K168" i="3"/>
  <c r="F119" i="3"/>
  <c r="T244" i="3"/>
  <c r="G210" i="3"/>
  <c r="Y97" i="3"/>
  <c r="S255" i="3"/>
  <c r="B203" i="3"/>
  <c r="AC64" i="3"/>
  <c r="O51" i="3"/>
  <c r="N44" i="3"/>
  <c r="R253" i="3"/>
  <c r="K72" i="3"/>
  <c r="V150" i="3"/>
  <c r="AD184" i="3"/>
  <c r="L17" i="3"/>
  <c r="J242" i="3"/>
  <c r="V85" i="3"/>
  <c r="X23" i="3"/>
  <c r="C64" i="3"/>
  <c r="M36" i="3"/>
  <c r="Y244" i="3"/>
  <c r="L144" i="3"/>
  <c r="R53" i="3"/>
  <c r="Q81" i="3"/>
  <c r="U22" i="3"/>
  <c r="T239" i="3"/>
  <c r="J191" i="3"/>
  <c r="E202" i="3"/>
  <c r="S52" i="3"/>
  <c r="T254" i="3"/>
  <c r="Y135" i="3"/>
  <c r="E184" i="3"/>
  <c r="H165" i="3"/>
  <c r="AA80" i="3"/>
  <c r="N50" i="3"/>
  <c r="Y136" i="3"/>
  <c r="A197" i="3"/>
  <c r="B160" i="3"/>
  <c r="G243" i="3"/>
  <c r="C24" i="3"/>
  <c r="M177" i="3"/>
  <c r="M93" i="3"/>
  <c r="V2" i="3"/>
  <c r="S176" i="3"/>
  <c r="E168" i="3"/>
  <c r="C236" i="3"/>
  <c r="H176" i="3"/>
  <c r="N151" i="3"/>
  <c r="AD63" i="3"/>
  <c r="Q43" i="3"/>
  <c r="L60" i="3"/>
  <c r="AC148" i="3"/>
  <c r="U84" i="3"/>
  <c r="K241" i="3"/>
  <c r="K215" i="3"/>
  <c r="Z41" i="3"/>
  <c r="A162" i="3"/>
  <c r="W228" i="3"/>
  <c r="Q131" i="3"/>
  <c r="I25" i="3"/>
  <c r="T116" i="3"/>
  <c r="V57" i="3"/>
  <c r="T200" i="3"/>
  <c r="I151" i="3"/>
  <c r="H115" i="3"/>
  <c r="O29" i="3"/>
  <c r="K18" i="3"/>
  <c r="I55" i="3"/>
  <c r="A214" i="3"/>
  <c r="G123" i="3"/>
  <c r="G141" i="3"/>
  <c r="P112" i="3"/>
  <c r="AC213" i="3"/>
  <c r="P240" i="3"/>
  <c r="A90" i="3"/>
  <c r="K255" i="3"/>
  <c r="I239" i="3"/>
  <c r="AA103" i="3"/>
  <c r="AA28" i="3"/>
  <c r="R119" i="3"/>
  <c r="J107" i="3"/>
  <c r="X96" i="3"/>
  <c r="A17" i="3"/>
  <c r="I171" i="3"/>
  <c r="L235" i="3"/>
  <c r="AA250" i="3"/>
  <c r="A86" i="3"/>
  <c r="G124" i="3"/>
  <c r="AD206" i="3"/>
  <c r="Q18" i="3"/>
  <c r="G102" i="3"/>
  <c r="AA154" i="3"/>
  <c r="AC61" i="3"/>
  <c r="A28" i="3"/>
  <c r="V73" i="3"/>
  <c r="Y66" i="3"/>
  <c r="L230" i="3"/>
  <c r="V55" i="3"/>
  <c r="G152" i="3"/>
  <c r="AA246" i="3"/>
  <c r="AA132" i="3"/>
  <c r="A27" i="3"/>
  <c r="H239" i="3"/>
  <c r="G31" i="3"/>
  <c r="E137" i="3"/>
  <c r="F50" i="3"/>
  <c r="U15" i="3"/>
  <c r="A11" i="3"/>
  <c r="AC124" i="3"/>
  <c r="Y105" i="3"/>
  <c r="D88" i="3"/>
  <c r="W74" i="3"/>
  <c r="AD234" i="3"/>
  <c r="H140" i="3"/>
  <c r="V127" i="3"/>
  <c r="Z83" i="3"/>
  <c r="I190" i="3"/>
  <c r="D80" i="3"/>
  <c r="E86" i="3"/>
  <c r="F68" i="3"/>
  <c r="P130" i="3"/>
  <c r="J131" i="3"/>
  <c r="AD108" i="3"/>
  <c r="Q95" i="3"/>
  <c r="N84" i="3"/>
  <c r="N108" i="3"/>
  <c r="K127" i="3"/>
  <c r="L189" i="3"/>
  <c r="N187" i="3"/>
  <c r="AD69" i="3"/>
  <c r="X47" i="3"/>
  <c r="Y216" i="3"/>
  <c r="A114" i="3"/>
  <c r="W150" i="3"/>
  <c r="AC199" i="3"/>
  <c r="H153" i="3"/>
  <c r="J53" i="3"/>
  <c r="P239" i="3"/>
  <c r="M94" i="3"/>
  <c r="Y152" i="3"/>
  <c r="I193" i="3"/>
  <c r="A234" i="3"/>
  <c r="P36" i="3"/>
  <c r="X207" i="3"/>
  <c r="H216" i="3"/>
  <c r="G224" i="3"/>
  <c r="AD169" i="3"/>
  <c r="Z244" i="3"/>
  <c r="J202" i="3"/>
  <c r="G190" i="3"/>
  <c r="O146" i="3"/>
  <c r="B58" i="3"/>
  <c r="S151" i="3"/>
  <c r="Z232" i="3"/>
  <c r="H243" i="3"/>
  <c r="X171" i="3"/>
  <c r="W103" i="3"/>
  <c r="AA243" i="3"/>
  <c r="M237" i="3"/>
  <c r="S119" i="3"/>
  <c r="Z66" i="3"/>
  <c r="M103" i="3"/>
  <c r="K157" i="3"/>
  <c r="V208" i="3"/>
  <c r="C70" i="3"/>
  <c r="K252" i="3"/>
  <c r="F157" i="3"/>
  <c r="Y59" i="3"/>
  <c r="G227" i="3"/>
  <c r="N156" i="3"/>
  <c r="I224" i="3"/>
  <c r="H179" i="3"/>
  <c r="X190" i="3"/>
  <c r="K108" i="3"/>
  <c r="V24" i="3"/>
  <c r="AC42" i="3"/>
  <c r="I91" i="3"/>
  <c r="G239" i="3"/>
  <c r="H136" i="3"/>
  <c r="U141" i="3"/>
  <c r="G255" i="3"/>
  <c r="N225" i="3"/>
  <c r="U241" i="3"/>
  <c r="U53" i="3"/>
  <c r="AA181" i="3"/>
  <c r="M2" i="3"/>
  <c r="AA133" i="3"/>
  <c r="D212" i="3"/>
  <c r="A96" i="3"/>
  <c r="J20" i="3"/>
  <c r="M41" i="3"/>
  <c r="G130" i="3"/>
  <c r="E224" i="3"/>
  <c r="T137" i="3"/>
  <c r="W62" i="3"/>
  <c r="AC94" i="3"/>
  <c r="P150" i="3"/>
  <c r="E116" i="3"/>
  <c r="W221" i="3"/>
  <c r="M174" i="3"/>
  <c r="K137" i="3"/>
  <c r="C111" i="3"/>
  <c r="P5" i="3"/>
  <c r="Y13" i="3"/>
  <c r="B9" i="3"/>
  <c r="D117" i="3"/>
  <c r="I16" i="3"/>
  <c r="J25" i="3"/>
  <c r="U217" i="3"/>
  <c r="Z120" i="3"/>
  <c r="D27" i="3"/>
  <c r="F250" i="3"/>
  <c r="P34" i="3"/>
  <c r="O53" i="3"/>
  <c r="U216" i="3"/>
  <c r="O25" i="3"/>
  <c r="X62" i="3"/>
  <c r="L94" i="3"/>
  <c r="G94" i="3"/>
  <c r="V220" i="3"/>
  <c r="Q200" i="3"/>
  <c r="AB192" i="3"/>
  <c r="P176" i="3"/>
  <c r="O85" i="3"/>
  <c r="R131" i="3"/>
  <c r="W129" i="3"/>
  <c r="R39" i="3"/>
  <c r="B66" i="3"/>
  <c r="O156" i="3"/>
  <c r="D35" i="3"/>
  <c r="F64" i="3"/>
  <c r="C240" i="3"/>
  <c r="U157" i="3"/>
  <c r="H214" i="3"/>
  <c r="N45" i="3"/>
  <c r="P17" i="3"/>
  <c r="V82" i="3"/>
  <c r="Y186" i="3"/>
  <c r="Y248" i="3"/>
  <c r="Q61" i="3"/>
  <c r="T210" i="3"/>
  <c r="P39" i="3"/>
  <c r="L126" i="3"/>
  <c r="L80" i="3"/>
  <c r="F188" i="3"/>
  <c r="M59" i="3"/>
  <c r="Z147" i="3"/>
  <c r="Z49" i="3"/>
  <c r="T5" i="3"/>
  <c r="B197" i="3"/>
  <c r="S7" i="3"/>
  <c r="I248" i="3"/>
  <c r="J155" i="3"/>
  <c r="N177" i="3"/>
  <c r="AB199" i="3"/>
  <c r="H22" i="3"/>
  <c r="O167" i="3"/>
  <c r="AB160" i="3"/>
  <c r="AD237" i="3"/>
  <c r="U221" i="3"/>
  <c r="AC214" i="3"/>
  <c r="S30" i="3"/>
  <c r="Y132" i="3"/>
  <c r="AD83" i="3"/>
  <c r="Y146" i="3"/>
  <c r="V206" i="3"/>
  <c r="AC101" i="3"/>
  <c r="D220" i="3"/>
  <c r="O202" i="3"/>
  <c r="N139" i="3"/>
  <c r="O245" i="3"/>
  <c r="I100" i="3"/>
  <c r="X99" i="3"/>
  <c r="M200" i="3"/>
  <c r="Q198" i="3"/>
  <c r="V92" i="3"/>
  <c r="I247" i="3"/>
  <c r="R25" i="3"/>
  <c r="Y89" i="3"/>
  <c r="N191" i="3"/>
  <c r="AC131" i="3"/>
  <c r="K6" i="3"/>
  <c r="Y101" i="3"/>
  <c r="V106" i="3"/>
  <c r="T172" i="3"/>
  <c r="M8" i="3"/>
  <c r="R69" i="3"/>
  <c r="K124" i="3"/>
  <c r="Y140" i="3"/>
  <c r="E180" i="3"/>
  <c r="AD235" i="3"/>
  <c r="G20" i="3"/>
  <c r="Y4" i="3"/>
  <c r="Z50" i="3"/>
  <c r="L183" i="3"/>
  <c r="Q113" i="3"/>
  <c r="X29" i="3"/>
  <c r="D179" i="3"/>
  <c r="R142" i="3"/>
  <c r="E109" i="3"/>
  <c r="D255" i="3"/>
  <c r="AA101" i="3"/>
  <c r="D97" i="3"/>
  <c r="F88" i="3"/>
  <c r="V9" i="3"/>
  <c r="AC60" i="3"/>
  <c r="T4" i="3"/>
  <c r="W196" i="3"/>
  <c r="AA55" i="3"/>
  <c r="W213" i="3"/>
  <c r="J112" i="3"/>
  <c r="V34" i="3"/>
  <c r="I245" i="3"/>
  <c r="AA237" i="3"/>
  <c r="J42" i="3"/>
  <c r="N78" i="3"/>
  <c r="F170" i="3"/>
  <c r="G132" i="3"/>
  <c r="P173" i="3"/>
  <c r="C57" i="3"/>
  <c r="C183" i="3"/>
  <c r="E205" i="3"/>
  <c r="W201" i="3"/>
  <c r="A148" i="3"/>
  <c r="AC105" i="3"/>
  <c r="Y218" i="3"/>
  <c r="T136" i="3"/>
  <c r="Q194" i="3"/>
  <c r="V48" i="3"/>
  <c r="A47" i="3"/>
  <c r="W240" i="3"/>
  <c r="A135" i="3"/>
  <c r="L21" i="3"/>
  <c r="Z240" i="3"/>
  <c r="A102" i="3"/>
  <c r="D165" i="3"/>
  <c r="Q185" i="3"/>
  <c r="N115" i="3"/>
  <c r="S20" i="3"/>
  <c r="Y56" i="3"/>
  <c r="C196" i="3"/>
  <c r="A116" i="3"/>
  <c r="AD77" i="3"/>
  <c r="I64" i="3"/>
  <c r="S198" i="3"/>
  <c r="W113" i="3"/>
  <c r="K136" i="3"/>
  <c r="AC144" i="3"/>
  <c r="D86" i="3"/>
  <c r="L120" i="3"/>
  <c r="E73" i="3"/>
  <c r="F181" i="3"/>
  <c r="F227" i="3"/>
  <c r="W139" i="3"/>
  <c r="W168" i="3"/>
  <c r="I90" i="3"/>
  <c r="L151" i="3"/>
  <c r="AC100" i="3"/>
  <c r="B87" i="3"/>
  <c r="U164" i="3"/>
  <c r="L146" i="3"/>
  <c r="S145" i="3"/>
  <c r="K214" i="3"/>
  <c r="AB32" i="3"/>
  <c r="N231" i="3"/>
  <c r="AA72" i="3"/>
  <c r="Z185" i="3"/>
  <c r="U184" i="3"/>
  <c r="P244" i="3"/>
  <c r="I126" i="3"/>
  <c r="V239" i="3"/>
  <c r="X92" i="3"/>
  <c r="AC90" i="3"/>
  <c r="M56" i="3"/>
  <c r="T157" i="3"/>
  <c r="B251" i="3"/>
  <c r="V145" i="3"/>
  <c r="S106" i="3"/>
  <c r="R59" i="3"/>
  <c r="Q72" i="3"/>
  <c r="F167" i="3"/>
  <c r="A68" i="3"/>
  <c r="V16" i="3"/>
  <c r="Y67" i="3"/>
  <c r="L234" i="3"/>
  <c r="R254" i="3"/>
  <c r="G125" i="3"/>
  <c r="N188" i="3"/>
  <c r="Y232" i="3"/>
  <c r="X5" i="3"/>
  <c r="P40" i="3"/>
  <c r="O159" i="3"/>
  <c r="S137" i="3"/>
  <c r="D108" i="3"/>
  <c r="Y224" i="3"/>
  <c r="H59" i="3"/>
  <c r="AC111" i="3"/>
  <c r="L85" i="3"/>
  <c r="T208" i="3"/>
  <c r="P164" i="3"/>
  <c r="Q128" i="3"/>
  <c r="K20" i="3"/>
  <c r="H35" i="3"/>
  <c r="B123" i="3"/>
  <c r="T212" i="3"/>
  <c r="A40" i="3"/>
  <c r="Q212" i="3"/>
  <c r="Y197" i="3"/>
  <c r="D168" i="3"/>
  <c r="Y164" i="3"/>
  <c r="W123" i="3"/>
  <c r="C189" i="3"/>
  <c r="K41" i="3"/>
  <c r="AC236" i="3"/>
  <c r="AA220" i="3"/>
  <c r="W219" i="3"/>
  <c r="E156" i="3"/>
  <c r="D105" i="3"/>
  <c r="AB241" i="3"/>
  <c r="AC83" i="3"/>
  <c r="J113" i="3"/>
  <c r="N220" i="3"/>
  <c r="B231" i="3"/>
  <c r="U208" i="3"/>
  <c r="X44" i="3"/>
  <c r="AB158" i="3"/>
  <c r="K254" i="3"/>
  <c r="O183" i="3"/>
  <c r="C138" i="3"/>
  <c r="I57" i="3"/>
  <c r="Q164" i="3"/>
  <c r="N28" i="3"/>
  <c r="K55" i="3"/>
  <c r="G89" i="3"/>
  <c r="AB104" i="3"/>
  <c r="J255" i="3"/>
  <c r="U240" i="3"/>
  <c r="P144" i="3"/>
  <c r="S183" i="3"/>
  <c r="E255" i="3"/>
  <c r="F62" i="3"/>
  <c r="AC171" i="3"/>
  <c r="AD115" i="3"/>
  <c r="N111" i="3"/>
  <c r="D236" i="3"/>
  <c r="B169" i="3"/>
  <c r="S146" i="3"/>
  <c r="G65" i="3"/>
  <c r="O34" i="3"/>
  <c r="L125" i="3"/>
  <c r="AC169" i="3"/>
  <c r="K237" i="3"/>
  <c r="S47" i="3"/>
  <c r="T192" i="3"/>
  <c r="Z130" i="3"/>
  <c r="A255" i="3"/>
  <c r="AD140" i="3"/>
  <c r="G39" i="3"/>
  <c r="V207" i="3"/>
  <c r="M187" i="3"/>
  <c r="O166" i="3"/>
  <c r="V170" i="3"/>
  <c r="A155" i="3"/>
  <c r="U202" i="3"/>
  <c r="D159" i="3"/>
  <c r="Z198" i="3"/>
  <c r="AA75" i="3"/>
  <c r="J158" i="3"/>
  <c r="L210" i="3"/>
  <c r="AC189" i="3"/>
  <c r="K61" i="3"/>
  <c r="AA11" i="3"/>
  <c r="Q151" i="3"/>
  <c r="N119" i="3"/>
  <c r="AD187" i="3"/>
  <c r="R177" i="3"/>
  <c r="M184" i="3"/>
  <c r="P105" i="3"/>
  <c r="E131" i="3"/>
  <c r="I84" i="3"/>
  <c r="F60" i="3"/>
  <c r="I150" i="3"/>
  <c r="A254" i="3"/>
  <c r="R87" i="3"/>
  <c r="Z44" i="3"/>
  <c r="P166" i="3"/>
  <c r="AB39" i="3"/>
  <c r="A97" i="3"/>
  <c r="R41" i="3"/>
  <c r="T206" i="3"/>
  <c r="D63" i="3"/>
  <c r="C188" i="3"/>
  <c r="AA227" i="3"/>
  <c r="H108" i="3"/>
  <c r="G22" i="3"/>
  <c r="U85" i="3"/>
  <c r="X55" i="3"/>
  <c r="T232" i="3"/>
  <c r="L40" i="3"/>
  <c r="O214" i="3"/>
  <c r="H193" i="3"/>
  <c r="U237" i="3"/>
  <c r="X32" i="3"/>
  <c r="J218" i="3"/>
  <c r="I75" i="3"/>
  <c r="N2" i="3"/>
  <c r="E149" i="3"/>
  <c r="K187" i="3"/>
  <c r="V101" i="3"/>
  <c r="AB133" i="3"/>
  <c r="L131" i="3"/>
  <c r="AD30" i="3"/>
  <c r="Z3" i="3"/>
  <c r="A54" i="3"/>
  <c r="D131" i="3"/>
  <c r="S209" i="3"/>
  <c r="M38" i="3"/>
  <c r="N110" i="3"/>
  <c r="X139" i="3"/>
  <c r="P44" i="3"/>
  <c r="Y102" i="3"/>
  <c r="Y72" i="3"/>
  <c r="W87" i="3"/>
  <c r="R114" i="3"/>
  <c r="G133" i="3"/>
  <c r="AB174" i="3"/>
  <c r="J127" i="3"/>
  <c r="AC40" i="3"/>
  <c r="T175" i="3"/>
  <c r="X109" i="3"/>
  <c r="L155" i="3"/>
  <c r="H13" i="3"/>
  <c r="B94" i="3"/>
  <c r="T248" i="3"/>
  <c r="U121" i="3"/>
  <c r="R37" i="3"/>
  <c r="I147" i="3"/>
  <c r="U179" i="3"/>
  <c r="E172" i="3"/>
  <c r="U78" i="3"/>
  <c r="V46" i="3"/>
  <c r="J40" i="3"/>
  <c r="W128" i="3"/>
  <c r="AA14" i="3"/>
  <c r="AA91" i="3"/>
  <c r="K190" i="3"/>
  <c r="L57" i="3"/>
  <c r="W184" i="3"/>
  <c r="O170" i="3"/>
  <c r="H148" i="3"/>
  <c r="S96" i="3"/>
  <c r="V143" i="3"/>
  <c r="AA53" i="3"/>
  <c r="Z154" i="3"/>
  <c r="G43" i="3"/>
  <c r="Z159" i="3"/>
  <c r="T238" i="3"/>
  <c r="R46" i="3"/>
  <c r="G83" i="3"/>
  <c r="Y52" i="3"/>
  <c r="AA209" i="3"/>
  <c r="G253" i="3"/>
  <c r="F207" i="3"/>
  <c r="J244" i="3"/>
  <c r="L112" i="3"/>
  <c r="AD111" i="3"/>
  <c r="X19" i="3"/>
  <c r="I194" i="3"/>
  <c r="AD101" i="3"/>
  <c r="L99" i="3"/>
  <c r="U8" i="3"/>
  <c r="S65" i="3"/>
  <c r="W76" i="3"/>
  <c r="T50" i="3"/>
  <c r="AA219" i="3"/>
  <c r="M71" i="3"/>
  <c r="R252" i="3"/>
  <c r="S8" i="3"/>
  <c r="J165" i="3"/>
  <c r="C193" i="3"/>
  <c r="AB111" i="3"/>
  <c r="AB46" i="3"/>
  <c r="AB210" i="3"/>
  <c r="AD232" i="3"/>
  <c r="Q23" i="3"/>
  <c r="S191" i="3"/>
  <c r="O97" i="3"/>
  <c r="W81" i="3"/>
  <c r="AC222" i="3"/>
  <c r="D205" i="3"/>
  <c r="S181" i="3"/>
  <c r="F140" i="3"/>
  <c r="M83" i="3"/>
  <c r="S252" i="3"/>
  <c r="AC8" i="3"/>
  <c r="V218" i="3"/>
  <c r="E104" i="3"/>
  <c r="G148" i="3"/>
  <c r="S192" i="3"/>
  <c r="AC192" i="3"/>
  <c r="L66" i="3"/>
  <c r="U211" i="3"/>
  <c r="G174" i="3"/>
  <c r="U3" i="3"/>
  <c r="L133" i="3"/>
  <c r="A149" i="3"/>
  <c r="AA230" i="3"/>
  <c r="V182" i="3"/>
  <c r="Z254" i="3"/>
  <c r="AA95" i="3"/>
  <c r="W41" i="3"/>
  <c r="AD156" i="3"/>
  <c r="AC167" i="3"/>
  <c r="I125" i="3"/>
  <c r="X59" i="3"/>
  <c r="L249" i="3"/>
  <c r="E242" i="3"/>
  <c r="H182" i="3"/>
  <c r="P66" i="3"/>
  <c r="U14" i="3"/>
  <c r="G92" i="3"/>
  <c r="AC16" i="3"/>
  <c r="J15" i="3"/>
  <c r="V155" i="3"/>
  <c r="W144" i="3"/>
  <c r="G200" i="3"/>
  <c r="S75" i="3"/>
  <c r="A111" i="3"/>
  <c r="S58" i="3"/>
  <c r="H8" i="3"/>
  <c r="V247" i="3"/>
  <c r="E160" i="3"/>
  <c r="K171" i="3"/>
  <c r="K175" i="3"/>
  <c r="T113" i="3"/>
  <c r="I144" i="3"/>
  <c r="I94" i="3"/>
  <c r="Q204" i="3"/>
  <c r="C162" i="3"/>
  <c r="Q149" i="3"/>
  <c r="N38" i="3"/>
  <c r="K66" i="3"/>
  <c r="O98" i="3"/>
  <c r="V121" i="3"/>
  <c r="G153" i="3"/>
  <c r="N5" i="3"/>
  <c r="T214" i="3"/>
  <c r="W19" i="3"/>
  <c r="T103" i="3"/>
  <c r="G171" i="3"/>
  <c r="Q57" i="3"/>
  <c r="H247" i="3"/>
  <c r="Q117" i="3"/>
  <c r="F72" i="3"/>
  <c r="L24" i="3"/>
  <c r="Y201" i="3"/>
  <c r="J210" i="3"/>
  <c r="D79" i="3"/>
  <c r="S251" i="3"/>
  <c r="AD183" i="3"/>
  <c r="G189" i="3"/>
  <c r="H37" i="3"/>
  <c r="C203" i="3"/>
  <c r="F211" i="3"/>
  <c r="Q191" i="3"/>
  <c r="Q9" i="3"/>
  <c r="O212" i="3"/>
  <c r="A232" i="3"/>
  <c r="AD213" i="3"/>
  <c r="B237" i="3"/>
  <c r="D75" i="3"/>
  <c r="Z139" i="3"/>
  <c r="N92" i="3"/>
  <c r="AB134" i="3"/>
  <c r="H169" i="3"/>
  <c r="S194" i="3"/>
  <c r="X202" i="3"/>
  <c r="AD99" i="3"/>
  <c r="O172" i="3"/>
  <c r="C17" i="3"/>
  <c r="O39" i="3"/>
  <c r="Z245" i="3"/>
  <c r="P231" i="3"/>
  <c r="F197" i="3"/>
  <c r="A193" i="3"/>
  <c r="Q156" i="3"/>
  <c r="G91" i="3"/>
  <c r="Z236" i="3"/>
  <c r="K216" i="3"/>
  <c r="E27" i="3"/>
  <c r="T130" i="3"/>
  <c r="AD39" i="3"/>
  <c r="L228" i="3"/>
  <c r="X132" i="3"/>
  <c r="AA198" i="3"/>
  <c r="C213" i="3"/>
  <c r="W28" i="3"/>
  <c r="X141" i="3"/>
  <c r="U76" i="3"/>
  <c r="D48" i="3"/>
  <c r="L160" i="3"/>
  <c r="E175" i="3"/>
  <c r="F110" i="3"/>
  <c r="AC118" i="3"/>
  <c r="N249" i="3"/>
  <c r="D186" i="3"/>
  <c r="R232" i="3"/>
  <c r="X165" i="3"/>
  <c r="J222" i="3"/>
  <c r="W153" i="3"/>
  <c r="F174" i="3"/>
  <c r="M195" i="3"/>
  <c r="L119" i="3"/>
  <c r="K78" i="3"/>
  <c r="N71" i="3"/>
  <c r="I23" i="3"/>
  <c r="R50" i="3"/>
  <c r="E144" i="3"/>
  <c r="A136" i="3"/>
  <c r="D110" i="3"/>
  <c r="M126" i="3"/>
  <c r="AB3" i="3"/>
  <c r="K9" i="3"/>
  <c r="D239" i="3"/>
  <c r="A241" i="3"/>
  <c r="L27" i="3"/>
  <c r="W44" i="3"/>
  <c r="M85" i="3"/>
  <c r="N56" i="3"/>
  <c r="L223" i="3"/>
  <c r="V201" i="3"/>
  <c r="I246" i="3"/>
  <c r="R24" i="3"/>
  <c r="I138" i="3"/>
  <c r="C123" i="3"/>
  <c r="R45" i="3"/>
  <c r="AD25" i="3"/>
  <c r="I63" i="3"/>
  <c r="T118" i="3"/>
  <c r="X90" i="3"/>
  <c r="K69" i="3"/>
  <c r="Q15" i="3"/>
  <c r="B46" i="3"/>
  <c r="C112" i="3"/>
  <c r="Z7" i="3"/>
  <c r="V103" i="3"/>
  <c r="B210" i="3"/>
  <c r="A103" i="3"/>
  <c r="H78" i="3"/>
  <c r="AB195" i="3"/>
  <c r="Y55" i="3"/>
  <c r="I106" i="3"/>
  <c r="T120" i="3"/>
  <c r="X224" i="3"/>
  <c r="J141" i="3"/>
  <c r="Z5" i="3"/>
  <c r="A79" i="3"/>
  <c r="U122" i="3"/>
  <c r="V216" i="3"/>
  <c r="F112" i="3"/>
  <c r="AB156" i="3"/>
  <c r="B194" i="3"/>
  <c r="B209" i="3"/>
  <c r="Y199" i="3"/>
  <c r="C132" i="3"/>
  <c r="E189" i="3"/>
  <c r="AA150" i="3"/>
  <c r="C235" i="3"/>
  <c r="F228" i="3"/>
  <c r="K211" i="3"/>
  <c r="U71" i="3"/>
  <c r="Q176" i="3"/>
  <c r="K156" i="3"/>
  <c r="J36" i="3"/>
  <c r="AA169" i="3"/>
  <c r="W43" i="3"/>
  <c r="AA167" i="3"/>
  <c r="AC134" i="3"/>
  <c r="AB30" i="3"/>
  <c r="O248" i="3"/>
  <c r="S131" i="3"/>
  <c r="W21" i="3"/>
  <c r="AB191" i="3"/>
  <c r="AD205" i="3"/>
  <c r="O215" i="3"/>
  <c r="H131" i="3"/>
  <c r="A80" i="3"/>
  <c r="D246" i="3"/>
  <c r="D59" i="3"/>
  <c r="U111" i="3"/>
  <c r="A81" i="3"/>
  <c r="C211" i="3"/>
  <c r="M105" i="3"/>
  <c r="P206" i="3"/>
  <c r="B201" i="3"/>
  <c r="U61" i="3"/>
  <c r="AB73" i="3"/>
  <c r="P2" i="3"/>
  <c r="I102" i="3"/>
  <c r="J215" i="3"/>
  <c r="U6" i="3"/>
  <c r="K106" i="3"/>
  <c r="I38" i="3"/>
  <c r="AB151" i="3"/>
  <c r="Y190" i="3"/>
  <c r="AD228" i="3"/>
  <c r="L233" i="3"/>
  <c r="S74" i="3"/>
  <c r="O112" i="3"/>
  <c r="C97" i="3"/>
  <c r="AB188" i="3"/>
  <c r="P158" i="3"/>
  <c r="N140" i="3"/>
  <c r="AB70" i="3"/>
  <c r="Z163" i="3"/>
  <c r="N178" i="3"/>
  <c r="J251" i="3"/>
  <c r="T82" i="3"/>
  <c r="A176" i="3"/>
  <c r="G247" i="3"/>
  <c r="S40" i="3"/>
  <c r="T229" i="3"/>
  <c r="N29" i="3"/>
  <c r="C72" i="3"/>
  <c r="C206" i="3"/>
  <c r="O95" i="3"/>
  <c r="D155" i="3"/>
  <c r="C38" i="3"/>
  <c r="V211" i="3"/>
  <c r="F165" i="3"/>
  <c r="AA112" i="3"/>
  <c r="D60" i="3"/>
  <c r="K93" i="3"/>
  <c r="I255" i="3"/>
  <c r="J164" i="3"/>
  <c r="L205" i="3"/>
  <c r="Z197" i="3"/>
  <c r="L7" i="3"/>
  <c r="M136" i="3"/>
  <c r="X237" i="3"/>
  <c r="AB61" i="3"/>
  <c r="J187" i="3"/>
  <c r="N217" i="3"/>
  <c r="AB72" i="3"/>
  <c r="P10" i="3"/>
  <c r="Z110" i="3"/>
  <c r="B67" i="3"/>
  <c r="Z37" i="3"/>
  <c r="H231" i="3"/>
  <c r="M21" i="3"/>
  <c r="L44" i="3"/>
  <c r="A98" i="3"/>
  <c r="AD68" i="3"/>
  <c r="P65" i="3"/>
  <c r="D229" i="3"/>
  <c r="E107" i="3"/>
  <c r="AC109" i="3"/>
  <c r="S82" i="3"/>
  <c r="Y7" i="3"/>
  <c r="F198" i="3"/>
  <c r="Q127" i="3"/>
  <c r="H79" i="3"/>
  <c r="P159" i="3"/>
  <c r="X83" i="3"/>
  <c r="W115" i="3"/>
  <c r="K52" i="3"/>
  <c r="C21" i="3"/>
  <c r="E121" i="3"/>
  <c r="M238" i="3"/>
  <c r="AD98" i="3"/>
  <c r="U50" i="3"/>
  <c r="J8" i="3"/>
  <c r="AB82" i="3"/>
  <c r="C252" i="3"/>
  <c r="B30" i="3"/>
  <c r="X41" i="3"/>
  <c r="D113" i="3"/>
  <c r="P221" i="3"/>
  <c r="W6" i="3"/>
  <c r="B157" i="3"/>
  <c r="P85" i="3"/>
  <c r="S102" i="3"/>
  <c r="S42" i="3"/>
  <c r="G230" i="3"/>
  <c r="U155" i="3"/>
  <c r="L136" i="3"/>
  <c r="I72" i="3"/>
  <c r="W195" i="3"/>
  <c r="Z82" i="3"/>
  <c r="N186" i="3"/>
  <c r="G109" i="3"/>
  <c r="AC106" i="3"/>
  <c r="S186" i="3"/>
  <c r="AC181" i="3"/>
  <c r="N67" i="3"/>
  <c r="T216" i="3"/>
  <c r="H127" i="3"/>
  <c r="P115" i="3"/>
  <c r="M208" i="3"/>
  <c r="K89" i="3"/>
  <c r="C172" i="3"/>
  <c r="U180" i="3"/>
  <c r="M82" i="3"/>
  <c r="Q12" i="3"/>
  <c r="G235" i="3"/>
  <c r="V254" i="3"/>
  <c r="L14" i="3"/>
  <c r="F55" i="3"/>
  <c r="AA110" i="3"/>
  <c r="T127" i="3"/>
  <c r="R110" i="3"/>
  <c r="AB101" i="3"/>
  <c r="F210" i="3"/>
  <c r="T79" i="3"/>
  <c r="S211" i="3"/>
  <c r="O229" i="3"/>
  <c r="AA158" i="3"/>
  <c r="U224" i="3"/>
  <c r="AD176" i="3"/>
  <c r="M159" i="3"/>
  <c r="AD45" i="3"/>
  <c r="F141" i="3"/>
  <c r="Z20" i="3"/>
  <c r="B211" i="3"/>
  <c r="AC163" i="3"/>
  <c r="Q158" i="3"/>
  <c r="C153" i="3"/>
  <c r="L72" i="3"/>
  <c r="J138" i="3"/>
  <c r="U42" i="3"/>
  <c r="AC47" i="3"/>
  <c r="E141" i="3"/>
  <c r="AA162" i="3"/>
  <c r="Q86" i="3"/>
  <c r="I149" i="3"/>
  <c r="AC237" i="3"/>
  <c r="I29" i="3"/>
  <c r="V233" i="3"/>
  <c r="AA143" i="3"/>
  <c r="AB49" i="3"/>
  <c r="C71" i="3"/>
  <c r="AB67" i="3"/>
  <c r="T53" i="3"/>
  <c r="AD65" i="3"/>
  <c r="K173" i="3"/>
  <c r="W133" i="3"/>
  <c r="S249" i="3"/>
  <c r="Q213" i="3"/>
  <c r="A190" i="3"/>
  <c r="B124" i="3"/>
  <c r="AC73" i="3"/>
  <c r="Y219" i="3"/>
  <c r="D83" i="3"/>
  <c r="Y125" i="3"/>
  <c r="D144" i="3"/>
  <c r="W149" i="3"/>
  <c r="M222" i="3"/>
  <c r="M209" i="3"/>
  <c r="AC162" i="3"/>
  <c r="J196" i="3"/>
  <c r="AC245" i="3"/>
  <c r="U186" i="3"/>
  <c r="AC137" i="3"/>
  <c r="AD170" i="3"/>
  <c r="P97" i="3"/>
  <c r="U60" i="3"/>
  <c r="G78" i="3"/>
  <c r="J45" i="3"/>
  <c r="S73" i="3"/>
  <c r="K62" i="3"/>
  <c r="H186" i="3"/>
  <c r="AA43" i="3"/>
  <c r="L145" i="3"/>
  <c r="Q238" i="3"/>
  <c r="Z10" i="3"/>
  <c r="N37" i="3"/>
  <c r="G80" i="3"/>
  <c r="N4" i="3"/>
  <c r="C49" i="3"/>
  <c r="U64" i="3"/>
  <c r="L123" i="3"/>
  <c r="S6" i="3"/>
  <c r="AA245" i="3"/>
  <c r="T196" i="3"/>
  <c r="AA134" i="3"/>
  <c r="B48" i="3"/>
  <c r="F205" i="3"/>
  <c r="Y255" i="3"/>
  <c r="AA40" i="3"/>
  <c r="D197" i="3"/>
  <c r="AC37" i="3"/>
  <c r="Z93" i="3"/>
  <c r="C225" i="3"/>
  <c r="I33" i="3"/>
  <c r="A233" i="3"/>
  <c r="M90" i="3"/>
  <c r="T170" i="3"/>
  <c r="W170" i="3"/>
  <c r="M66" i="3"/>
  <c r="P198" i="3"/>
  <c r="V40" i="3"/>
  <c r="W57" i="3"/>
  <c r="R194" i="3"/>
  <c r="J254" i="3"/>
  <c r="F82" i="3"/>
  <c r="M69" i="3"/>
  <c r="Z136" i="3"/>
  <c r="A221" i="3"/>
  <c r="V49" i="3"/>
  <c r="E53" i="3"/>
  <c r="W191" i="3"/>
  <c r="S89" i="3"/>
  <c r="M110" i="3"/>
  <c r="Y167" i="3"/>
  <c r="Z226" i="3"/>
  <c r="S63" i="3"/>
  <c r="AA50" i="3"/>
  <c r="AA66" i="3"/>
  <c r="K95" i="3"/>
  <c r="B217" i="3"/>
  <c r="AB207" i="3"/>
  <c r="N65" i="3"/>
  <c r="P46" i="3"/>
  <c r="C68" i="3"/>
  <c r="W146" i="3"/>
  <c r="U138" i="3"/>
  <c r="T245" i="3"/>
  <c r="Y92" i="3"/>
  <c r="A177" i="3"/>
  <c r="W220" i="3"/>
  <c r="AC125" i="3"/>
  <c r="N143" i="3"/>
  <c r="AD24" i="3"/>
  <c r="X127" i="3"/>
  <c r="F41" i="3"/>
  <c r="J64" i="3"/>
  <c r="Y208" i="3"/>
  <c r="H209" i="3"/>
  <c r="AC123" i="3"/>
  <c r="AC153" i="3"/>
  <c r="AD198" i="3"/>
  <c r="F129" i="3"/>
  <c r="J195" i="3"/>
  <c r="AB48" i="3"/>
  <c r="N42" i="3"/>
  <c r="X64" i="3"/>
  <c r="S45" i="3"/>
  <c r="H157" i="3"/>
  <c r="E174" i="3"/>
  <c r="X16" i="3"/>
  <c r="F3" i="3"/>
  <c r="F49" i="3"/>
  <c r="K207" i="3"/>
  <c r="A204" i="3"/>
  <c r="U255" i="3"/>
  <c r="H88" i="3"/>
  <c r="S53" i="3"/>
  <c r="S2" i="3"/>
  <c r="E185" i="3"/>
  <c r="P52" i="3"/>
  <c r="A106" i="3"/>
  <c r="R75" i="3"/>
  <c r="E251" i="3"/>
  <c r="T18" i="3"/>
  <c r="C103" i="3"/>
  <c r="AA179" i="3"/>
  <c r="I169" i="3"/>
  <c r="Q186" i="3"/>
  <c r="A198" i="3"/>
  <c r="D234" i="3"/>
  <c r="F75" i="3"/>
  <c r="AD247" i="3"/>
  <c r="B153" i="3"/>
  <c r="R149" i="3"/>
  <c r="AD182" i="3"/>
  <c r="J207" i="3"/>
  <c r="X56" i="3"/>
  <c r="E67" i="3"/>
  <c r="L89" i="3"/>
  <c r="I241" i="3"/>
  <c r="Z161" i="3"/>
  <c r="K209" i="3"/>
  <c r="I56" i="3"/>
  <c r="O236" i="3"/>
  <c r="Q123" i="3"/>
  <c r="A57" i="3"/>
  <c r="AD219" i="3"/>
  <c r="N136" i="3"/>
  <c r="J169" i="3"/>
  <c r="B59" i="3"/>
  <c r="W136" i="3"/>
  <c r="Y65" i="3"/>
  <c r="H15" i="3"/>
  <c r="G154" i="3"/>
  <c r="T143" i="3"/>
  <c r="E138" i="3"/>
  <c r="C210" i="3"/>
  <c r="I121" i="3"/>
  <c r="Q33" i="3"/>
  <c r="U118" i="3"/>
  <c r="H226" i="3"/>
  <c r="V253" i="3"/>
  <c r="X34" i="3"/>
  <c r="W239" i="3"/>
  <c r="E186" i="3"/>
  <c r="AD255" i="3"/>
  <c r="I185" i="3"/>
  <c r="I230" i="3"/>
  <c r="AC182" i="3"/>
  <c r="Y114" i="3"/>
  <c r="H48" i="3"/>
  <c r="K68" i="3"/>
  <c r="C56" i="3"/>
  <c r="AC133" i="3"/>
  <c r="L103" i="3"/>
  <c r="G14" i="3"/>
  <c r="H221" i="3"/>
  <c r="P118" i="3"/>
  <c r="N147" i="3"/>
  <c r="L132" i="3"/>
  <c r="N85" i="3"/>
  <c r="AD218" i="3"/>
  <c r="T54" i="3"/>
  <c r="B139" i="3"/>
  <c r="C239" i="3"/>
  <c r="AD56" i="3"/>
  <c r="AD174" i="3"/>
  <c r="V132" i="3"/>
  <c r="AD146" i="3"/>
  <c r="Q111" i="3"/>
  <c r="Y37" i="3"/>
  <c r="X79" i="3"/>
  <c r="W250" i="3"/>
  <c r="S112" i="3"/>
  <c r="O59" i="3"/>
  <c r="Y240" i="3"/>
  <c r="Y204" i="3"/>
  <c r="G215" i="3"/>
  <c r="N167" i="3"/>
  <c r="Z92" i="3"/>
  <c r="AC173" i="3"/>
  <c r="L104" i="3"/>
  <c r="Y151" i="3"/>
  <c r="V234" i="3"/>
  <c r="V108" i="3"/>
  <c r="N39" i="3"/>
  <c r="B2" i="3"/>
  <c r="U46" i="3"/>
  <c r="B226" i="3"/>
  <c r="P122" i="3"/>
  <c r="H125" i="3"/>
  <c r="V60" i="3"/>
  <c r="X7" i="3"/>
  <c r="P55" i="3"/>
  <c r="O32" i="3"/>
  <c r="AC166" i="3"/>
  <c r="I105" i="3"/>
  <c r="P73" i="3"/>
  <c r="T97" i="3"/>
  <c r="V219" i="3"/>
  <c r="H144" i="3"/>
  <c r="V192" i="3"/>
  <c r="U196" i="3"/>
  <c r="Q36" i="3"/>
  <c r="J62" i="3"/>
  <c r="U227" i="3"/>
  <c r="Z188" i="3"/>
  <c r="C204" i="3"/>
  <c r="T47" i="3"/>
  <c r="Z25" i="3"/>
  <c r="P125" i="3"/>
  <c r="U92" i="3"/>
  <c r="K4" i="3"/>
  <c r="W188" i="3"/>
  <c r="AC135" i="3"/>
  <c r="J122" i="3"/>
  <c r="J226" i="3"/>
  <c r="U160" i="3"/>
  <c r="J167" i="3"/>
  <c r="N221" i="3"/>
  <c r="P174" i="3"/>
  <c r="H75" i="3"/>
  <c r="U99" i="3"/>
  <c r="H181" i="3"/>
  <c r="K5" i="3"/>
  <c r="U234" i="3"/>
  <c r="Z71" i="3"/>
  <c r="AD152" i="3"/>
  <c r="F136" i="3"/>
  <c r="J12" i="3"/>
  <c r="C224" i="3"/>
  <c r="AD215" i="3"/>
  <c r="R248" i="3"/>
  <c r="D250" i="3"/>
  <c r="D25" i="3"/>
  <c r="E223" i="3"/>
  <c r="M166" i="3"/>
  <c r="E193" i="3"/>
  <c r="Z112" i="3"/>
  <c r="I37" i="3"/>
  <c r="H117" i="3"/>
  <c r="T35" i="3"/>
  <c r="T220" i="3"/>
  <c r="AD49" i="3"/>
  <c r="D219" i="3"/>
  <c r="H134" i="3"/>
  <c r="V184" i="3"/>
  <c r="W126" i="3"/>
  <c r="V225" i="3"/>
  <c r="B35" i="3"/>
  <c r="AA159" i="3"/>
  <c r="G229" i="3"/>
  <c r="N192" i="3"/>
  <c r="AD53" i="3"/>
  <c r="AA130" i="3"/>
  <c r="AB108" i="3"/>
  <c r="E241" i="3"/>
  <c r="H138" i="3"/>
  <c r="W140" i="3"/>
  <c r="R120" i="3"/>
  <c r="U188" i="3"/>
  <c r="N141" i="3"/>
  <c r="S135" i="3"/>
  <c r="H173" i="3"/>
  <c r="W182" i="3"/>
  <c r="Z33" i="3"/>
  <c r="AC223" i="3"/>
  <c r="K186" i="3"/>
  <c r="V223" i="3"/>
  <c r="Y78" i="3"/>
  <c r="E52" i="3"/>
  <c r="V39" i="3"/>
  <c r="K53" i="3"/>
  <c r="AD37" i="3"/>
  <c r="AA31" i="3"/>
  <c r="B245" i="3"/>
  <c r="B214" i="3"/>
  <c r="AA193" i="3"/>
  <c r="L36" i="3"/>
  <c r="AD9" i="3"/>
  <c r="AA61" i="3"/>
  <c r="J231" i="3"/>
  <c r="S62" i="3"/>
  <c r="Q139" i="3"/>
  <c r="C141" i="3"/>
  <c r="J252" i="3"/>
  <c r="J200" i="3"/>
  <c r="J35" i="3"/>
  <c r="R2" i="2"/>
  <c r="R20" i="3"/>
  <c r="AD139" i="3"/>
  <c r="S216" i="3"/>
  <c r="J5" i="3"/>
  <c r="H251" i="3"/>
  <c r="AD100" i="3"/>
  <c r="Z251" i="3"/>
  <c r="AA59" i="3"/>
  <c r="Z24" i="3"/>
  <c r="E249" i="3"/>
  <c r="H122" i="3"/>
  <c r="I109" i="3"/>
  <c r="M24" i="3"/>
  <c r="F15" i="3"/>
  <c r="U151" i="3"/>
  <c r="E212" i="3"/>
  <c r="Q214" i="3"/>
  <c r="U128" i="3"/>
  <c r="AC72" i="3"/>
  <c r="AA161" i="3"/>
  <c r="J70" i="3"/>
  <c r="AC159" i="3"/>
  <c r="U183" i="3"/>
  <c r="AC233" i="3"/>
  <c r="R166" i="3"/>
  <c r="P234" i="3"/>
  <c r="E207" i="3"/>
  <c r="U242" i="3"/>
  <c r="U90" i="3"/>
  <c r="I127" i="3"/>
  <c r="I131" i="3"/>
  <c r="U153" i="3"/>
  <c r="P180" i="3"/>
  <c r="N194" i="3"/>
  <c r="M111" i="3"/>
  <c r="L239" i="3"/>
  <c r="G53" i="3"/>
  <c r="X185" i="3"/>
  <c r="Y228" i="3"/>
  <c r="AB91" i="3"/>
  <c r="AC217" i="3"/>
  <c r="K231" i="3"/>
  <c r="V115" i="3"/>
  <c r="A26" i="3"/>
  <c r="V221" i="3"/>
  <c r="Q34" i="3"/>
  <c r="D213" i="3"/>
  <c r="I118" i="3"/>
  <c r="H102" i="3"/>
  <c r="P227" i="3"/>
  <c r="X103" i="3"/>
  <c r="R202" i="3"/>
  <c r="X182" i="3"/>
  <c r="W173" i="3"/>
  <c r="Y95" i="3"/>
  <c r="H208" i="3"/>
  <c r="X107" i="3"/>
  <c r="Z238" i="3"/>
  <c r="K113" i="3"/>
  <c r="Z125" i="3"/>
  <c r="C180" i="3"/>
  <c r="L190" i="3"/>
  <c r="H187" i="3"/>
  <c r="V126" i="3"/>
  <c r="H68" i="3"/>
  <c r="O186" i="3"/>
  <c r="H195" i="3"/>
  <c r="X101" i="3"/>
  <c r="F104" i="3"/>
  <c r="Q110" i="3"/>
  <c r="C106" i="3"/>
  <c r="V142" i="3"/>
  <c r="E216" i="3"/>
  <c r="U67" i="3"/>
  <c r="R85" i="3"/>
  <c r="AC164" i="3"/>
  <c r="AB50" i="3"/>
  <c r="AB12" i="3"/>
  <c r="P185" i="3"/>
  <c r="O216" i="3"/>
  <c r="AD245" i="3"/>
  <c r="J192" i="3"/>
  <c r="AC228" i="3"/>
  <c r="K155" i="3"/>
  <c r="F161" i="3"/>
  <c r="H107" i="3"/>
  <c r="N6" i="3"/>
  <c r="AD161" i="3"/>
  <c r="X167" i="3"/>
  <c r="N200" i="3"/>
  <c r="Y48" i="3"/>
  <c r="T44" i="3"/>
  <c r="T174" i="3"/>
  <c r="G116" i="3"/>
  <c r="B206" i="3"/>
  <c r="Q99" i="3"/>
  <c r="Y111" i="3"/>
  <c r="AB220" i="3"/>
  <c r="J181" i="3"/>
  <c r="G79" i="3"/>
  <c r="V123" i="3"/>
  <c r="M34" i="3"/>
  <c r="AC216" i="3"/>
  <c r="D202" i="3"/>
  <c r="L148" i="3"/>
  <c r="G33" i="3"/>
  <c r="Z106" i="3"/>
  <c r="U152" i="3"/>
  <c r="W45" i="3"/>
  <c r="E65" i="3"/>
  <c r="Y229" i="3"/>
  <c r="J111" i="3"/>
  <c r="AD230" i="3"/>
  <c r="S77" i="3"/>
  <c r="F160" i="3"/>
  <c r="Q247" i="3"/>
  <c r="AD165" i="3"/>
  <c r="AC239" i="3"/>
  <c r="C13" i="3"/>
  <c r="O193" i="3"/>
  <c r="AD84" i="3"/>
  <c r="AA65" i="3"/>
  <c r="K135" i="3"/>
  <c r="Z19" i="3"/>
  <c r="B65" i="3"/>
  <c r="V151" i="3"/>
  <c r="B222" i="3"/>
  <c r="AA113" i="3"/>
  <c r="A201" i="3"/>
  <c r="K120" i="3"/>
  <c r="C28" i="3"/>
  <c r="G117" i="3"/>
  <c r="AA24" i="3"/>
  <c r="R240" i="3"/>
  <c r="G254" i="3"/>
  <c r="H16" i="3"/>
  <c r="G76" i="3"/>
  <c r="S245" i="3"/>
  <c r="N207" i="3"/>
  <c r="H222" i="3"/>
  <c r="X123" i="3"/>
  <c r="U96" i="3"/>
  <c r="AB255" i="3"/>
  <c r="G176" i="3"/>
  <c r="I51" i="3"/>
  <c r="R47" i="3"/>
  <c r="AC55" i="3"/>
  <c r="I164" i="3"/>
  <c r="Y100" i="3"/>
  <c r="H218" i="3"/>
  <c r="L252" i="3"/>
  <c r="J58" i="3"/>
  <c r="L69" i="3"/>
  <c r="X179" i="3"/>
  <c r="AC77" i="3"/>
  <c r="F97" i="3"/>
  <c r="X76" i="3"/>
  <c r="P204" i="3"/>
  <c r="N72" i="3"/>
  <c r="V193" i="3"/>
  <c r="H174" i="3"/>
  <c r="H141" i="3"/>
  <c r="B248" i="3"/>
  <c r="E237" i="3"/>
  <c r="C99" i="3"/>
  <c r="S76" i="3"/>
  <c r="F222" i="3"/>
  <c r="J96" i="3"/>
  <c r="C6" i="3"/>
  <c r="T173" i="3"/>
  <c r="I157" i="3"/>
  <c r="N112" i="3"/>
  <c r="T88" i="3"/>
  <c r="Z64" i="3"/>
  <c r="O35" i="3"/>
  <c r="S142" i="3"/>
  <c r="G166" i="3"/>
  <c r="X211" i="3"/>
  <c r="Y26" i="3"/>
  <c r="O74" i="3"/>
  <c r="Y238" i="3"/>
  <c r="U124" i="3"/>
  <c r="G156" i="3"/>
  <c r="R151" i="3"/>
  <c r="A160" i="3"/>
  <c r="AB254" i="3"/>
  <c r="Q250" i="3"/>
  <c r="W185" i="3"/>
  <c r="V12" i="3"/>
  <c r="M130" i="3"/>
  <c r="M149" i="3"/>
  <c r="AC5" i="3"/>
  <c r="Q32" i="3"/>
  <c r="V45" i="3"/>
  <c r="C173" i="3"/>
  <c r="R153" i="3"/>
  <c r="Q97" i="3"/>
  <c r="W159" i="3"/>
  <c r="D111" i="3"/>
  <c r="O169" i="3"/>
  <c r="AB92" i="3"/>
  <c r="Q78" i="3"/>
  <c r="X235" i="3"/>
  <c r="Q17" i="3"/>
  <c r="R245" i="3"/>
  <c r="F175" i="3"/>
  <c r="C27" i="3"/>
  <c r="J223" i="3"/>
  <c r="A118" i="3"/>
  <c r="Z115" i="3"/>
  <c r="J221" i="3"/>
  <c r="AA156" i="3"/>
  <c r="V99" i="3"/>
  <c r="AA221" i="3"/>
  <c r="U191" i="3"/>
  <c r="C116" i="3"/>
  <c r="AB27" i="3"/>
  <c r="A122" i="3"/>
  <c r="J69" i="3"/>
  <c r="B195" i="3"/>
  <c r="L128" i="3"/>
  <c r="J77" i="3"/>
  <c r="K50" i="3"/>
  <c r="G155" i="3"/>
  <c r="L197" i="3"/>
  <c r="L217" i="3"/>
  <c r="I175" i="3"/>
  <c r="AD191" i="3"/>
  <c r="U166" i="3"/>
  <c r="A213" i="3"/>
  <c r="U192" i="3"/>
  <c r="F91" i="3"/>
  <c r="Q246" i="3"/>
  <c r="M204" i="3"/>
  <c r="AC143" i="3"/>
  <c r="C144" i="3"/>
  <c r="V241" i="3"/>
  <c r="T190" i="3"/>
  <c r="L150" i="3"/>
  <c r="V250" i="3"/>
  <c r="T23" i="3"/>
  <c r="Z196" i="3"/>
  <c r="F200" i="3"/>
  <c r="M132" i="3"/>
  <c r="AA207" i="3"/>
  <c r="G201" i="3"/>
  <c r="AC53" i="3"/>
  <c r="N24" i="3"/>
  <c r="AD127" i="3"/>
  <c r="C114" i="3"/>
  <c r="C166" i="3"/>
  <c r="T32" i="3"/>
  <c r="W104" i="3"/>
  <c r="F218" i="3"/>
  <c r="Z213" i="3"/>
  <c r="Q118" i="3"/>
  <c r="C233" i="3"/>
  <c r="I195" i="3"/>
  <c r="E123" i="3"/>
  <c r="Q20" i="3"/>
  <c r="U88" i="3"/>
  <c r="E164" i="3"/>
  <c r="Z26" i="3"/>
  <c r="O71" i="3"/>
  <c r="K139" i="3"/>
  <c r="B64" i="3"/>
  <c r="Y196" i="3"/>
  <c r="H73" i="3"/>
  <c r="X204" i="3"/>
  <c r="Q160" i="3"/>
  <c r="O162" i="3"/>
  <c r="Y73" i="3"/>
  <c r="U210" i="3"/>
  <c r="N34" i="3"/>
  <c r="W122" i="3"/>
  <c r="P111" i="3"/>
  <c r="T218" i="3"/>
  <c r="T167" i="3"/>
  <c r="I3" i="3"/>
  <c r="X236" i="3"/>
  <c r="T29" i="3"/>
  <c r="P141" i="3"/>
  <c r="G103" i="3"/>
  <c r="J115" i="3"/>
  <c r="B221" i="3"/>
  <c r="B93" i="3"/>
  <c r="R246" i="3"/>
  <c r="AB184" i="3"/>
  <c r="AA111" i="3"/>
  <c r="AD54" i="3"/>
  <c r="I205" i="3"/>
  <c r="U101" i="3"/>
  <c r="Y150" i="3"/>
  <c r="AB252" i="3"/>
  <c r="C200" i="3"/>
  <c r="J143" i="3"/>
  <c r="J26" i="3"/>
  <c r="B28" i="3"/>
  <c r="U30" i="3"/>
  <c r="T162" i="3"/>
  <c r="E56" i="3"/>
  <c r="W218" i="3"/>
  <c r="AB96" i="3"/>
  <c r="E44" i="3"/>
  <c r="C90" i="3"/>
  <c r="X94" i="3"/>
  <c r="AC129" i="3"/>
  <c r="I191" i="3"/>
  <c r="J27" i="3"/>
  <c r="D53" i="3"/>
  <c r="A144" i="3"/>
  <c r="Z168" i="3"/>
  <c r="G208" i="3"/>
  <c r="J76" i="3"/>
  <c r="E42" i="3"/>
  <c r="T243" i="3"/>
  <c r="AA213" i="3"/>
  <c r="AD109" i="3"/>
  <c r="B205" i="3"/>
  <c r="E197" i="3"/>
  <c r="U58" i="3"/>
  <c r="AD89" i="3"/>
  <c r="C143" i="3"/>
  <c r="E130" i="3"/>
  <c r="Z145" i="3"/>
  <c r="Q254" i="3"/>
  <c r="AD74" i="3"/>
  <c r="D70" i="3"/>
  <c r="AD148" i="3"/>
  <c r="M231" i="3"/>
  <c r="U136" i="3"/>
  <c r="H220" i="3"/>
  <c r="A178" i="3"/>
  <c r="L129" i="3"/>
  <c r="AB35" i="3"/>
  <c r="G68" i="3"/>
  <c r="I156" i="3"/>
  <c r="N35" i="3"/>
  <c r="W68" i="3"/>
  <c r="E250" i="3"/>
  <c r="I168" i="3"/>
  <c r="O241" i="3"/>
  <c r="W23" i="3"/>
  <c r="X81" i="3"/>
  <c r="W222" i="3"/>
  <c r="B3" i="3"/>
  <c r="S203" i="3"/>
  <c r="M77" i="3"/>
  <c r="I68" i="3"/>
  <c r="Y213" i="3"/>
  <c r="G177" i="3"/>
  <c r="M127" i="3"/>
  <c r="AA98" i="3"/>
  <c r="G32" i="3"/>
  <c r="R136" i="3"/>
  <c r="P226" i="3"/>
  <c r="C98" i="3"/>
  <c r="K144" i="3"/>
  <c r="AC206" i="3"/>
  <c r="F23" i="3"/>
  <c r="AC114" i="3"/>
  <c r="O37" i="3"/>
  <c r="K164" i="3"/>
  <c r="N107" i="3"/>
  <c r="F252" i="3"/>
  <c r="H166" i="3"/>
  <c r="Y159" i="3"/>
  <c r="L164" i="3"/>
  <c r="V209" i="3"/>
  <c r="X157" i="3"/>
  <c r="C88" i="3"/>
  <c r="W17" i="3"/>
  <c r="L4" i="3"/>
  <c r="Q98" i="3"/>
  <c r="A205" i="3"/>
  <c r="T106" i="3"/>
  <c r="C221" i="3"/>
  <c r="B18" i="3"/>
  <c r="U147" i="3"/>
  <c r="C5" i="3"/>
  <c r="N90" i="3"/>
  <c r="AB213" i="3"/>
  <c r="C167" i="3"/>
  <c r="W94" i="3"/>
  <c r="V148" i="3"/>
  <c r="N235" i="3"/>
  <c r="B141" i="3"/>
  <c r="A248" i="3"/>
  <c r="H94" i="3"/>
  <c r="K194" i="3"/>
  <c r="L51" i="3"/>
  <c r="U194" i="3"/>
  <c r="AB154" i="3"/>
  <c r="N254" i="3"/>
  <c r="N62" i="3"/>
  <c r="A210" i="3"/>
  <c r="C10" i="3"/>
  <c r="R61" i="3"/>
  <c r="AD186" i="3"/>
  <c r="S127" i="3"/>
  <c r="R58" i="3"/>
  <c r="O240" i="3"/>
  <c r="S86" i="3"/>
  <c r="F30" i="3"/>
  <c r="S247" i="3"/>
  <c r="B193" i="3"/>
  <c r="R68" i="3"/>
  <c r="AB218" i="3"/>
  <c r="X152" i="3"/>
  <c r="I54" i="3"/>
  <c r="L67" i="3"/>
  <c r="C125" i="3"/>
  <c r="H196" i="3"/>
  <c r="R165" i="3"/>
  <c r="H118" i="3"/>
  <c r="V217" i="3"/>
  <c r="B80" i="3"/>
  <c r="AD150" i="3"/>
  <c r="H4" i="3"/>
  <c r="V61" i="3"/>
  <c r="B116" i="3"/>
  <c r="A60" i="3"/>
  <c r="Q84" i="3"/>
  <c r="G54" i="3"/>
  <c r="V251" i="3"/>
  <c r="AD220" i="3"/>
  <c r="AA108" i="3"/>
  <c r="AB215" i="3"/>
  <c r="T102" i="3"/>
  <c r="T233" i="3"/>
  <c r="T177" i="3"/>
  <c r="N255" i="3"/>
  <c r="V255" i="3"/>
  <c r="H161" i="3"/>
  <c r="G147" i="3"/>
  <c r="D183" i="3"/>
  <c r="V133" i="3"/>
  <c r="Q172" i="3"/>
  <c r="U119" i="3"/>
  <c r="G140" i="3"/>
  <c r="A191" i="3"/>
  <c r="H204" i="3"/>
  <c r="K77" i="3"/>
  <c r="V226" i="3"/>
  <c r="C50" i="3"/>
  <c r="Q251" i="3"/>
  <c r="B212" i="3"/>
  <c r="F196" i="3"/>
  <c r="M138" i="3"/>
  <c r="Y200" i="3"/>
  <c r="F124" i="3"/>
  <c r="AA149" i="3"/>
  <c r="A84" i="3"/>
  <c r="S46" i="3"/>
  <c r="V252" i="3"/>
  <c r="Y247" i="3"/>
  <c r="H40" i="3"/>
  <c r="V237" i="3"/>
  <c r="G64" i="3"/>
  <c r="AC62" i="3"/>
  <c r="L204" i="3"/>
  <c r="Q245" i="3"/>
  <c r="J49" i="3"/>
  <c r="J67" i="3"/>
  <c r="U215" i="3"/>
  <c r="L175" i="3"/>
  <c r="C184" i="3"/>
  <c r="AA202" i="3"/>
  <c r="C147" i="3"/>
  <c r="Z221" i="3"/>
  <c r="T164" i="3"/>
  <c r="R234" i="3"/>
  <c r="AD86" i="3"/>
  <c r="Y71" i="3"/>
  <c r="O237" i="3"/>
  <c r="I13" i="3"/>
  <c r="AC202" i="3"/>
  <c r="AB52" i="3"/>
  <c r="Z142" i="3"/>
  <c r="C255" i="3"/>
  <c r="AC152" i="3"/>
  <c r="J59" i="3"/>
  <c r="D193" i="3"/>
  <c r="AD242" i="3"/>
  <c r="I108" i="3"/>
  <c r="AB221" i="3"/>
  <c r="L5" i="3"/>
  <c r="AB157" i="3"/>
  <c r="Y203" i="3"/>
  <c r="I34" i="3"/>
  <c r="G70" i="3"/>
  <c r="F79" i="3"/>
  <c r="AC221" i="3"/>
  <c r="F2" i="3"/>
  <c r="C198" i="3"/>
  <c r="O199" i="3"/>
  <c r="I167" i="3"/>
  <c r="Q29" i="3"/>
  <c r="R175" i="3"/>
  <c r="AB237" i="3"/>
  <c r="Q3" i="3"/>
  <c r="AC141" i="3"/>
  <c r="W96" i="3"/>
  <c r="Y112" i="3"/>
  <c r="L96" i="3"/>
  <c r="P223" i="3"/>
  <c r="Z178" i="3"/>
  <c r="F139" i="3"/>
  <c r="V19" i="3"/>
  <c r="C190" i="3"/>
  <c r="AD171" i="3"/>
  <c r="T224" i="3"/>
  <c r="F163" i="3"/>
  <c r="M72" i="3"/>
  <c r="K227" i="3"/>
  <c r="W86" i="3"/>
  <c r="S233" i="3"/>
  <c r="Z181" i="3"/>
  <c r="W142" i="3"/>
  <c r="M245" i="3"/>
  <c r="Y22" i="3"/>
  <c r="AD4" i="3"/>
  <c r="AD33" i="3"/>
  <c r="U89" i="3"/>
  <c r="I218" i="3"/>
  <c r="A151" i="3"/>
  <c r="Q58" i="3"/>
  <c r="U27" i="3"/>
  <c r="AB97" i="3"/>
  <c r="D130" i="3"/>
  <c r="H29" i="3"/>
  <c r="L38" i="3"/>
  <c r="A93" i="3"/>
  <c r="S165" i="3"/>
  <c r="S228" i="3"/>
  <c r="D195" i="3"/>
  <c r="P209" i="3"/>
  <c r="C46" i="3"/>
  <c r="I170" i="3"/>
  <c r="P33" i="3"/>
  <c r="AC158" i="3"/>
  <c r="Z55" i="3"/>
  <c r="M224" i="3"/>
  <c r="AD214" i="3"/>
  <c r="C83" i="3"/>
  <c r="S59" i="3"/>
  <c r="C201" i="3"/>
  <c r="AD8" i="3"/>
  <c r="K221" i="3"/>
  <c r="I136" i="3"/>
  <c r="B112" i="3"/>
  <c r="P91" i="3"/>
  <c r="H98" i="3"/>
  <c r="S169" i="3"/>
  <c r="M75" i="3"/>
  <c r="Y241" i="3"/>
  <c r="Y38" i="3"/>
  <c r="D235" i="3"/>
  <c r="Z239" i="3"/>
  <c r="AD124" i="3"/>
  <c r="H155" i="3"/>
  <c r="T241" i="3"/>
  <c r="R251" i="3"/>
  <c r="X142" i="3"/>
  <c r="AD15" i="3"/>
  <c r="R29" i="3"/>
  <c r="Y84" i="3"/>
  <c r="P249" i="3"/>
  <c r="M171" i="3"/>
  <c r="N70" i="3"/>
  <c r="Q161" i="3"/>
  <c r="T45" i="3"/>
  <c r="AA54" i="3"/>
  <c r="Y156" i="3"/>
  <c r="S238" i="3"/>
  <c r="B155" i="3"/>
  <c r="W156" i="3"/>
  <c r="O158" i="3"/>
  <c r="F106" i="3"/>
  <c r="D231" i="3"/>
  <c r="O195" i="3"/>
  <c r="Z23" i="3"/>
  <c r="F143" i="3"/>
  <c r="AC225" i="3"/>
  <c r="L55" i="3"/>
  <c r="E80" i="3"/>
  <c r="AB62" i="3"/>
  <c r="K176" i="3"/>
  <c r="U110" i="3"/>
  <c r="L176" i="3"/>
  <c r="U187" i="3"/>
  <c r="C105" i="3"/>
  <c r="U247" i="3"/>
  <c r="N164" i="3"/>
  <c r="A83" i="3"/>
  <c r="T163" i="3"/>
  <c r="Q107" i="3"/>
  <c r="U229" i="3"/>
  <c r="K97" i="3"/>
  <c r="AC248" i="3"/>
  <c r="B223" i="3"/>
  <c r="AD193" i="3"/>
  <c r="F6" i="3"/>
  <c r="B255" i="3"/>
  <c r="J140" i="3"/>
  <c r="G137" i="3"/>
  <c r="G242" i="3"/>
  <c r="U100" i="3"/>
  <c r="AB137" i="3"/>
  <c r="J198" i="3"/>
  <c r="W158" i="3"/>
  <c r="F131" i="3"/>
  <c r="AA248" i="3"/>
  <c r="O137" i="3"/>
  <c r="P225" i="3"/>
  <c r="T215" i="3"/>
  <c r="U142" i="3"/>
  <c r="E244" i="3"/>
  <c r="K234" i="3"/>
  <c r="A139" i="3"/>
  <c r="AC208" i="3"/>
  <c r="G58" i="3"/>
  <c r="G226" i="3"/>
  <c r="H69" i="3"/>
  <c r="J240" i="3"/>
  <c r="O181" i="3"/>
  <c r="Y76" i="3"/>
  <c r="AA56" i="3"/>
  <c r="J118" i="3"/>
  <c r="A134" i="3"/>
  <c r="B140" i="3"/>
  <c r="Z151" i="3"/>
  <c r="L207" i="3"/>
  <c r="A137" i="3"/>
  <c r="C187" i="3"/>
  <c r="O82" i="3"/>
  <c r="AC27" i="3"/>
  <c r="AC45" i="3"/>
  <c r="U105" i="3"/>
  <c r="Q26" i="3"/>
  <c r="Z204" i="3"/>
  <c r="W110" i="3"/>
  <c r="AA106" i="3"/>
  <c r="O235" i="3"/>
  <c r="Y223" i="3"/>
  <c r="L30" i="3"/>
  <c r="A200" i="3"/>
  <c r="K172" i="3"/>
  <c r="AB22" i="3"/>
  <c r="AD34" i="3"/>
  <c r="S171" i="3"/>
  <c r="Q47" i="3"/>
  <c r="AA247" i="3"/>
  <c r="U117" i="3"/>
  <c r="T161" i="3"/>
  <c r="J235" i="3"/>
  <c r="U112" i="3"/>
  <c r="O123" i="3"/>
  <c r="Z117" i="3"/>
  <c r="X164" i="3"/>
  <c r="Y254" i="3"/>
  <c r="AD72" i="3"/>
  <c r="AD168" i="3"/>
  <c r="C207" i="3"/>
  <c r="F231" i="3"/>
  <c r="R160" i="3"/>
  <c r="X238" i="3"/>
  <c r="AB144" i="3"/>
  <c r="T96" i="3"/>
  <c r="E194" i="3"/>
  <c r="P149" i="3"/>
  <c r="B41" i="3"/>
  <c r="J103" i="3"/>
  <c r="P129" i="3"/>
  <c r="M135" i="3"/>
  <c r="X129" i="3"/>
  <c r="B45" i="3"/>
  <c r="M120" i="3"/>
  <c r="B72" i="3"/>
  <c r="T42" i="3"/>
  <c r="S214" i="3"/>
  <c r="H93" i="3"/>
  <c r="K199" i="3"/>
  <c r="V97" i="3"/>
  <c r="AB81" i="3"/>
  <c r="AD80" i="3"/>
  <c r="T153" i="3"/>
  <c r="AD125" i="3"/>
  <c r="V210" i="3"/>
  <c r="Y183" i="3"/>
  <c r="AA90" i="3"/>
  <c r="O247" i="3"/>
  <c r="V242" i="3"/>
  <c r="J206" i="3"/>
  <c r="H225" i="3"/>
  <c r="E161" i="3"/>
  <c r="U226" i="3"/>
  <c r="G186" i="3"/>
  <c r="G204" i="3"/>
  <c r="M101" i="3"/>
  <c r="L143" i="3"/>
  <c r="D233" i="3"/>
  <c r="G216" i="3"/>
  <c r="M220" i="3"/>
  <c r="I234" i="3"/>
  <c r="W9" i="3"/>
  <c r="D217" i="3"/>
  <c r="P163" i="3"/>
  <c r="P54" i="3"/>
  <c r="O45" i="3"/>
  <c r="L254" i="3"/>
  <c r="I53" i="3"/>
  <c r="AB36" i="3"/>
  <c r="V146" i="3"/>
  <c r="AC176" i="3"/>
  <c r="H33" i="3"/>
  <c r="AB107" i="3"/>
  <c r="N98" i="3"/>
  <c r="M210" i="3"/>
  <c r="W131" i="3"/>
  <c r="C145" i="3"/>
  <c r="C115" i="3"/>
  <c r="AD204" i="3"/>
  <c r="G163" i="3"/>
  <c r="X134" i="3"/>
  <c r="AB93" i="3"/>
  <c r="B232" i="3"/>
  <c r="F240" i="3"/>
  <c r="AD64" i="3"/>
  <c r="U34" i="3"/>
  <c r="AA109" i="3"/>
  <c r="S150" i="3"/>
  <c r="Q44" i="3"/>
  <c r="Y107" i="3"/>
  <c r="V232" i="3"/>
  <c r="R35" i="3"/>
  <c r="W114" i="3"/>
  <c r="I43" i="3"/>
  <c r="N165" i="3"/>
  <c r="AB109" i="3"/>
  <c r="I146" i="3"/>
  <c r="L153" i="3"/>
  <c r="AD250" i="3"/>
  <c r="G167" i="3"/>
  <c r="M180" i="3"/>
  <c r="Z87" i="3"/>
  <c r="AA115" i="3"/>
  <c r="R179" i="3"/>
  <c r="AA173" i="3"/>
  <c r="S124" i="3"/>
  <c r="E227" i="3"/>
  <c r="J47" i="3"/>
  <c r="U77" i="3"/>
  <c r="I4" i="3"/>
  <c r="D145" i="3"/>
  <c r="AC23" i="3"/>
  <c r="F137" i="3"/>
  <c r="L117" i="3"/>
  <c r="AD61" i="3"/>
  <c r="S72" i="3"/>
  <c r="F148" i="3"/>
  <c r="X158" i="3"/>
  <c r="X120" i="3"/>
  <c r="W59" i="3"/>
  <c r="AC25" i="3"/>
  <c r="Q115" i="3"/>
  <c r="V51" i="3"/>
  <c r="X189" i="3"/>
  <c r="F151" i="3"/>
  <c r="Q169" i="3"/>
  <c r="M236" i="3"/>
  <c r="M219" i="3"/>
  <c r="R197" i="3"/>
  <c r="O253" i="3"/>
  <c r="M175" i="3"/>
  <c r="AD252" i="3"/>
  <c r="M44" i="3"/>
  <c r="J68" i="3"/>
  <c r="E200" i="3"/>
  <c r="Y131" i="3"/>
  <c r="AA232" i="3"/>
  <c r="Y149" i="3"/>
  <c r="Z158" i="3"/>
  <c r="L139" i="3"/>
  <c r="L109" i="3"/>
  <c r="F63" i="3"/>
  <c r="F183" i="3"/>
  <c r="AA197" i="3"/>
  <c r="T2" i="3"/>
  <c r="B129" i="3"/>
  <c r="L170" i="3"/>
  <c r="K163" i="3"/>
  <c r="D228" i="3"/>
  <c r="C82" i="3"/>
  <c r="V166" i="3"/>
  <c r="Y177" i="3"/>
  <c r="D140" i="3"/>
  <c r="I249" i="3"/>
  <c r="T226" i="3"/>
  <c r="Z85" i="3"/>
  <c r="K228" i="3"/>
  <c r="C65" i="3"/>
  <c r="W54" i="3"/>
  <c r="M42" i="3"/>
  <c r="K233" i="3"/>
  <c r="AA200" i="3"/>
  <c r="R109" i="3"/>
  <c r="AA87" i="3"/>
  <c r="S111" i="3"/>
  <c r="H219" i="3"/>
  <c r="Z177" i="3"/>
  <c r="W161" i="3"/>
  <c r="B101" i="3"/>
  <c r="D185" i="3"/>
  <c r="S230" i="3"/>
  <c r="AC232" i="3"/>
  <c r="P87" i="3"/>
  <c r="B34" i="3"/>
  <c r="P56" i="3"/>
  <c r="O171" i="3"/>
  <c r="AC252" i="3"/>
  <c r="AA123" i="3"/>
  <c r="O104" i="3"/>
  <c r="M158" i="3"/>
  <c r="B125" i="3"/>
  <c r="V50" i="3"/>
  <c r="G16" i="3"/>
  <c r="AA36" i="3"/>
  <c r="AB171" i="3"/>
  <c r="AB152" i="3"/>
  <c r="Y119" i="3"/>
  <c r="L181" i="3"/>
  <c r="H198" i="3"/>
  <c r="S115" i="3"/>
  <c r="Z89" i="3"/>
  <c r="J150" i="3"/>
  <c r="AA205" i="3"/>
  <c r="I10" i="3"/>
  <c r="M249" i="3"/>
  <c r="A203" i="3"/>
  <c r="E254" i="3"/>
  <c r="J10" i="3"/>
  <c r="D223" i="3"/>
  <c r="V66" i="3"/>
  <c r="J133" i="3"/>
  <c r="R228" i="3"/>
  <c r="R48" i="3"/>
  <c r="Q39" i="3"/>
  <c r="N181" i="3"/>
  <c r="O196" i="3"/>
  <c r="R227" i="3"/>
  <c r="C51" i="3"/>
  <c r="V116" i="3"/>
  <c r="D52" i="3"/>
  <c r="Q144" i="3"/>
  <c r="Y184" i="3"/>
  <c r="T105" i="3"/>
  <c r="P250" i="3"/>
  <c r="G241" i="3"/>
  <c r="W132" i="3"/>
  <c r="T179" i="3"/>
  <c r="C136" i="3"/>
  <c r="AA233" i="3"/>
  <c r="E148" i="3"/>
  <c r="P152" i="3"/>
  <c r="AA171" i="3"/>
  <c r="E128" i="3"/>
  <c r="I211" i="3"/>
  <c r="G77" i="3"/>
  <c r="B92" i="3"/>
  <c r="X175" i="3"/>
  <c r="K201" i="3"/>
  <c r="R147" i="3"/>
  <c r="X163" i="3"/>
  <c r="M146" i="3"/>
  <c r="AC229" i="3"/>
  <c r="AA146" i="3"/>
  <c r="X208" i="3"/>
  <c r="Y51" i="3"/>
  <c r="I60" i="3"/>
  <c r="T202" i="3"/>
  <c r="A82" i="3"/>
  <c r="C12" i="3"/>
  <c r="F214" i="3"/>
  <c r="M198" i="3"/>
  <c r="Z109" i="3"/>
  <c r="I52" i="3"/>
  <c r="B20" i="3"/>
  <c r="U87" i="3"/>
  <c r="C35" i="3"/>
  <c r="L97" i="3"/>
  <c r="C208" i="3"/>
  <c r="Q142" i="3"/>
  <c r="T237" i="3"/>
  <c r="V96" i="3"/>
  <c r="A89" i="3"/>
  <c r="W2" i="3"/>
  <c r="AD172" i="3"/>
  <c r="B247" i="3"/>
  <c r="R163" i="3"/>
  <c r="I250" i="3"/>
  <c r="F69" i="3"/>
  <c r="U222" i="3"/>
  <c r="Z199" i="3"/>
  <c r="E63" i="3"/>
  <c r="L174" i="3"/>
  <c r="W71" i="3"/>
  <c r="D139" i="3"/>
  <c r="AB182" i="3"/>
  <c r="AA176" i="3"/>
  <c r="O119" i="3"/>
  <c r="I137" i="3"/>
  <c r="K134" i="3"/>
  <c r="AA211" i="3"/>
  <c r="W18" i="3"/>
  <c r="AB59" i="3"/>
  <c r="T181" i="3"/>
  <c r="G173" i="3"/>
  <c r="I233" i="3"/>
  <c r="M230" i="3"/>
  <c r="U173" i="3"/>
  <c r="C249" i="3"/>
  <c r="L102" i="3"/>
  <c r="AC243" i="3"/>
  <c r="S227" i="3"/>
  <c r="W63" i="3"/>
  <c r="F127" i="3"/>
  <c r="B252" i="3"/>
  <c r="B198" i="3"/>
  <c r="A55" i="3"/>
  <c r="F17" i="3"/>
  <c r="L65" i="3"/>
  <c r="V76" i="3"/>
  <c r="AA122" i="3"/>
  <c r="N40" i="3"/>
  <c r="AD236" i="3"/>
  <c r="AD211" i="3"/>
  <c r="Z13" i="3"/>
  <c r="R223" i="3"/>
  <c r="E88" i="3"/>
  <c r="C169" i="3"/>
  <c r="AC218" i="3"/>
  <c r="M189" i="3"/>
  <c r="Q109" i="3"/>
  <c r="W82" i="3"/>
  <c r="X240" i="3"/>
  <c r="F144" i="3"/>
  <c r="X77" i="3"/>
  <c r="M168" i="3"/>
  <c r="N131" i="3"/>
  <c r="H143" i="3"/>
  <c r="E228" i="3"/>
  <c r="G202" i="3"/>
  <c r="K27" i="3"/>
  <c r="AB169" i="3"/>
  <c r="AB106" i="3"/>
  <c r="J28" i="3"/>
  <c r="V149" i="3"/>
  <c r="N30" i="3"/>
  <c r="O161" i="3"/>
  <c r="Y173" i="3"/>
  <c r="AA81" i="3"/>
  <c r="N106" i="3"/>
  <c r="V213" i="3"/>
  <c r="J204" i="3"/>
  <c r="F230" i="3"/>
  <c r="J24" i="3"/>
  <c r="N197" i="3"/>
  <c r="M150" i="3"/>
  <c r="G251" i="3"/>
  <c r="X125" i="3"/>
  <c r="N86" i="3"/>
  <c r="H197" i="3"/>
  <c r="G24" i="3"/>
  <c r="D124" i="3"/>
  <c r="D143" i="3"/>
  <c r="T15" i="3"/>
  <c r="T205" i="3"/>
  <c r="X174" i="3"/>
  <c r="W174" i="3"/>
  <c r="AD216" i="3"/>
  <c r="I41" i="3"/>
  <c r="W148" i="3"/>
  <c r="W217" i="3"/>
  <c r="N176" i="3"/>
  <c r="AA32" i="3"/>
  <c r="D198" i="3"/>
  <c r="C254" i="3"/>
  <c r="J7" i="3"/>
  <c r="N76" i="3"/>
  <c r="V37" i="3"/>
  <c r="E106" i="3"/>
  <c r="P114" i="3"/>
  <c r="AD51" i="3"/>
  <c r="H6" i="3"/>
  <c r="A170" i="3"/>
  <c r="M121" i="3"/>
  <c r="AD179" i="3"/>
  <c r="W194" i="3"/>
  <c r="H147" i="3"/>
  <c r="Y86" i="3"/>
  <c r="I9" i="3"/>
  <c r="E243" i="3"/>
  <c r="AA196" i="3"/>
  <c r="L135" i="3"/>
  <c r="E100" i="3"/>
  <c r="S241" i="3"/>
  <c r="M147" i="3"/>
  <c r="O213" i="3"/>
  <c r="L138" i="3"/>
  <c r="N123" i="3"/>
  <c r="AC95" i="3"/>
  <c r="B239" i="3"/>
  <c r="A8" i="3"/>
  <c r="X229" i="3"/>
  <c r="AA234" i="3"/>
  <c r="R98" i="3"/>
  <c r="AD132" i="3"/>
  <c r="J74" i="3"/>
  <c r="G47" i="3"/>
  <c r="E146" i="3"/>
  <c r="O126" i="3"/>
  <c r="M91" i="3"/>
  <c r="Z81" i="3"/>
  <c r="Z30" i="3"/>
  <c r="I192" i="3"/>
  <c r="K210" i="3"/>
  <c r="D182" i="3"/>
  <c r="R127" i="3"/>
  <c r="Y103" i="3"/>
  <c r="AC17" i="3"/>
  <c r="B175" i="3"/>
  <c r="R187" i="3"/>
  <c r="AB179" i="3"/>
  <c r="L77" i="3"/>
  <c r="U66" i="3"/>
  <c r="I8" i="3"/>
  <c r="Y210" i="3"/>
  <c r="M246" i="3"/>
  <c r="E83" i="3"/>
  <c r="N26" i="3"/>
  <c r="AD243" i="3"/>
  <c r="V102" i="3"/>
  <c r="P43" i="3"/>
  <c r="U10" i="3"/>
  <c r="D158" i="3"/>
  <c r="L48" i="3"/>
  <c r="Q179" i="3"/>
  <c r="S244" i="3"/>
  <c r="B156" i="3"/>
  <c r="V249" i="3"/>
  <c r="O80" i="3"/>
  <c r="Z67" i="3"/>
  <c r="U131" i="3"/>
  <c r="AB150" i="3"/>
  <c r="K117" i="3"/>
  <c r="O115" i="3"/>
  <c r="J136" i="3"/>
  <c r="D64" i="3"/>
  <c r="Q48" i="3"/>
  <c r="AC168" i="3"/>
  <c r="B225" i="3"/>
  <c r="W183" i="3"/>
  <c r="U75" i="3"/>
  <c r="V196" i="3"/>
  <c r="A215" i="3"/>
  <c r="AB17" i="3"/>
  <c r="R40" i="3"/>
  <c r="O251" i="3"/>
  <c r="L222" i="3"/>
  <c r="O227" i="3"/>
  <c r="Y161" i="3"/>
  <c r="R112" i="3"/>
  <c r="G50" i="3"/>
  <c r="L245" i="3"/>
  <c r="AD12" i="3"/>
  <c r="L240" i="3"/>
  <c r="W234" i="3"/>
  <c r="N218" i="3"/>
  <c r="V164" i="3"/>
  <c r="C89" i="3"/>
  <c r="AD163" i="3"/>
  <c r="AD155" i="3"/>
  <c r="D174" i="3"/>
  <c r="K34" i="3"/>
  <c r="AA26" i="3"/>
  <c r="T57" i="3"/>
  <c r="V93" i="3"/>
  <c r="P6" i="3"/>
  <c r="O192" i="3"/>
  <c r="K183" i="3"/>
  <c r="S138" i="3"/>
  <c r="O249" i="3"/>
  <c r="I214" i="3"/>
  <c r="M252" i="3"/>
  <c r="D89" i="3"/>
  <c r="Q114" i="3"/>
  <c r="L191" i="3"/>
  <c r="X203" i="3"/>
  <c r="X12" i="3"/>
  <c r="AA148" i="3"/>
  <c r="A226" i="3"/>
  <c r="AA251" i="3"/>
  <c r="P19" i="3"/>
  <c r="D94" i="3"/>
  <c r="V227" i="3"/>
  <c r="Q153" i="3"/>
  <c r="P136" i="3"/>
  <c r="P213" i="3"/>
  <c r="I202" i="3"/>
  <c r="G25" i="3"/>
  <c r="AB249" i="3"/>
  <c r="AB94" i="3"/>
  <c r="D238" i="3"/>
  <c r="P190" i="3"/>
  <c r="G218" i="3"/>
  <c r="O87" i="3"/>
  <c r="C11" i="3"/>
  <c r="AD21" i="3"/>
  <c r="A37" i="3"/>
  <c r="AA195" i="3"/>
  <c r="Q100" i="3"/>
  <c r="G178" i="3"/>
  <c r="AD62" i="3"/>
  <c r="W205" i="3"/>
  <c r="L157" i="3"/>
  <c r="A152" i="3"/>
  <c r="R150" i="3"/>
  <c r="R213" i="3"/>
  <c r="N120" i="3"/>
  <c r="X154" i="3"/>
  <c r="H180" i="3"/>
  <c r="Y189" i="3"/>
  <c r="H149" i="3"/>
  <c r="C245" i="3"/>
  <c r="I225" i="3"/>
  <c r="Z164" i="3"/>
  <c r="O50" i="3"/>
  <c r="AC84" i="3"/>
  <c r="F203" i="3"/>
  <c r="F74" i="3"/>
  <c r="U41" i="3"/>
  <c r="M116" i="3"/>
  <c r="AA141" i="3"/>
  <c r="X69" i="3"/>
  <c r="I219" i="3"/>
  <c r="H56" i="3"/>
  <c r="A231" i="3"/>
  <c r="Z104" i="3"/>
  <c r="X33" i="3"/>
  <c r="Z124" i="3"/>
  <c r="B56" i="3"/>
  <c r="Y74" i="3"/>
  <c r="U126" i="3"/>
  <c r="G149" i="3"/>
  <c r="D96" i="3"/>
  <c r="AC51" i="3"/>
  <c r="V244" i="3"/>
  <c r="AD55" i="3"/>
  <c r="K205" i="3"/>
  <c r="X180" i="3"/>
  <c r="Z149" i="3"/>
  <c r="U195" i="3"/>
  <c r="V54" i="3"/>
  <c r="K84" i="3"/>
  <c r="V167" i="3"/>
  <c r="Q242" i="3"/>
  <c r="N134" i="3"/>
  <c r="Q190" i="3"/>
  <c r="E238" i="3"/>
  <c r="Z86" i="3"/>
  <c r="AD151" i="3"/>
  <c r="K36" i="3"/>
  <c r="AD107" i="3"/>
  <c r="D188" i="3"/>
  <c r="AB238" i="3"/>
  <c r="AD130" i="3"/>
  <c r="Z214" i="3"/>
  <c r="Z96" i="3"/>
  <c r="F66" i="3"/>
  <c r="Q27" i="3"/>
  <c r="J123" i="3"/>
  <c r="Z6" i="3"/>
  <c r="AA140" i="3"/>
  <c r="AA190" i="3"/>
  <c r="I220" i="3"/>
  <c r="AD44" i="3"/>
  <c r="B100" i="3"/>
  <c r="J148" i="3"/>
  <c r="AA100" i="3"/>
  <c r="D161" i="3"/>
  <c r="W237" i="3"/>
  <c r="A239" i="3"/>
  <c r="S234" i="3"/>
  <c r="V181" i="3"/>
  <c r="V187" i="3"/>
  <c r="M221" i="3"/>
  <c r="AA12" i="3"/>
  <c r="AD52" i="3"/>
  <c r="E253" i="3"/>
  <c r="K232" i="3"/>
  <c r="H96" i="3"/>
  <c r="Y139" i="3"/>
  <c r="U233" i="3"/>
  <c r="N246" i="3"/>
  <c r="E252" i="3"/>
  <c r="Z99" i="3"/>
  <c r="W97" i="3"/>
  <c r="X140" i="3"/>
  <c r="Q206" i="3"/>
  <c r="N36" i="3"/>
  <c r="U5" i="3"/>
  <c r="AA126" i="3"/>
  <c r="O62" i="3"/>
  <c r="U144" i="3"/>
  <c r="AD222" i="3"/>
  <c r="AA224" i="3"/>
  <c r="AC66" i="3"/>
  <c r="V90" i="3"/>
  <c r="AC58" i="3"/>
  <c r="D82" i="3"/>
  <c r="AB240" i="3"/>
  <c r="J9" i="3"/>
  <c r="X17" i="3"/>
  <c r="N117" i="3"/>
  <c r="Z74" i="3"/>
  <c r="W247" i="3"/>
  <c r="A171" i="3"/>
  <c r="T204" i="3"/>
  <c r="L62" i="3"/>
  <c r="L50" i="3"/>
  <c r="G104" i="3"/>
  <c r="R230" i="3"/>
  <c r="H67" i="3"/>
  <c r="P217" i="3"/>
  <c r="J18" i="3"/>
  <c r="L250" i="3"/>
  <c r="AD192" i="3"/>
  <c r="AB153" i="3"/>
  <c r="R195" i="3"/>
  <c r="H100" i="3"/>
  <c r="C253" i="3"/>
  <c r="Z189" i="3"/>
  <c r="K71" i="3"/>
  <c r="AB219" i="3"/>
  <c r="G139" i="3"/>
  <c r="Q136" i="3"/>
  <c r="T121" i="3"/>
  <c r="Z248" i="3"/>
  <c r="A51" i="3"/>
  <c r="B37" i="3"/>
  <c r="S184" i="3"/>
  <c r="B4" i="3"/>
  <c r="K208" i="3"/>
  <c r="W242" i="3"/>
  <c r="X196" i="3"/>
  <c r="E165" i="3"/>
  <c r="X221" i="3"/>
  <c r="N114" i="3"/>
  <c r="D85" i="3"/>
  <c r="D91" i="3"/>
  <c r="W245" i="3"/>
  <c r="I243" i="3"/>
  <c r="K224" i="3"/>
  <c r="W135" i="3"/>
  <c r="E24" i="3"/>
  <c r="P168" i="3"/>
  <c r="P93" i="3"/>
  <c r="J78" i="3"/>
  <c r="N180" i="3"/>
  <c r="X135" i="3"/>
  <c r="Z215" i="3"/>
  <c r="T51" i="3"/>
  <c r="A251" i="3"/>
  <c r="K24" i="3"/>
  <c r="S226" i="3"/>
  <c r="V165" i="3"/>
  <c r="O209" i="3"/>
  <c r="L54" i="3"/>
  <c r="W37" i="3"/>
  <c r="Z243" i="3"/>
  <c r="Q21" i="3"/>
  <c r="F84" i="3"/>
  <c r="T39" i="3"/>
  <c r="G168" i="3"/>
  <c r="K73" i="3"/>
  <c r="P208" i="3"/>
  <c r="L161" i="3"/>
  <c r="N91" i="3"/>
  <c r="A242" i="3"/>
  <c r="X51" i="3"/>
  <c r="W207" i="3"/>
  <c r="Z52" i="3"/>
  <c r="J224" i="3"/>
  <c r="S54" i="3"/>
  <c r="T219" i="3"/>
  <c r="X232" i="3"/>
  <c r="K184" i="3"/>
  <c r="I123" i="3"/>
  <c r="Q76" i="3"/>
  <c r="N201" i="3"/>
  <c r="Z27" i="3"/>
  <c r="N64" i="3"/>
  <c r="Q170" i="3"/>
  <c r="O205" i="3"/>
  <c r="N97" i="3"/>
  <c r="L182" i="3"/>
  <c r="I2" i="3"/>
  <c r="Q208" i="3"/>
  <c r="H82" i="3"/>
  <c r="R190" i="3"/>
  <c r="L70" i="3"/>
  <c r="F177" i="3"/>
  <c r="T228" i="3"/>
  <c r="W8" i="3"/>
  <c r="AB105" i="3"/>
  <c r="M10" i="3"/>
  <c r="AA117" i="3"/>
  <c r="AA47" i="3"/>
  <c r="Z101" i="3"/>
  <c r="H139" i="3"/>
  <c r="B43" i="3"/>
  <c r="J110" i="3"/>
  <c r="D61" i="3"/>
  <c r="J213" i="3"/>
  <c r="X11" i="3"/>
  <c r="AC103" i="3"/>
  <c r="AC251" i="3"/>
  <c r="H190" i="3"/>
  <c r="AB118" i="3"/>
  <c r="T58" i="3"/>
  <c r="AD145" i="3"/>
  <c r="Y115" i="3"/>
  <c r="N251" i="3"/>
  <c r="X18" i="3"/>
  <c r="B113" i="3"/>
  <c r="C113" i="3"/>
  <c r="E213" i="3"/>
  <c r="H132" i="3"/>
  <c r="M70" i="3"/>
  <c r="A61" i="3"/>
  <c r="G233" i="3"/>
  <c r="M61" i="3"/>
  <c r="AD18" i="3"/>
  <c r="W34" i="3"/>
  <c r="R214" i="3"/>
  <c r="AC151" i="3"/>
  <c r="Y165" i="3"/>
  <c r="E232" i="3"/>
  <c r="AB187" i="3"/>
  <c r="AC120" i="3"/>
  <c r="G180" i="3"/>
  <c r="R105" i="3"/>
  <c r="Y40" i="3"/>
  <c r="AC180" i="3"/>
  <c r="AC31" i="3"/>
  <c r="M254" i="3"/>
  <c r="H255" i="3"/>
  <c r="Y243" i="3"/>
  <c r="AA107" i="3"/>
  <c r="V11" i="3"/>
  <c r="R36" i="3"/>
  <c r="Y207" i="3"/>
  <c r="P237" i="3"/>
  <c r="O187" i="3"/>
  <c r="X57" i="3"/>
  <c r="J23" i="3"/>
  <c r="P22" i="3"/>
  <c r="W42" i="3"/>
  <c r="N166" i="3"/>
  <c r="AD43" i="3"/>
  <c r="AA128" i="3"/>
  <c r="H116" i="3"/>
  <c r="AB206" i="3"/>
  <c r="I208" i="3"/>
  <c r="AD185" i="3"/>
  <c r="L20" i="3"/>
  <c r="S197" i="3"/>
  <c r="I237" i="3"/>
  <c r="W22" i="3"/>
  <c r="Z219" i="3"/>
  <c r="X247" i="3"/>
  <c r="Q82" i="3"/>
  <c r="D138" i="3"/>
  <c r="K29" i="3"/>
  <c r="P167" i="3"/>
  <c r="C226" i="3"/>
  <c r="U182" i="3"/>
  <c r="E145" i="3"/>
  <c r="A194" i="3"/>
  <c r="W39" i="3"/>
  <c r="M235" i="3"/>
  <c r="J237" i="3"/>
  <c r="E246" i="3"/>
  <c r="Z8" i="3"/>
  <c r="C140" i="3"/>
  <c r="V104" i="3"/>
  <c r="Z17" i="3"/>
  <c r="O151" i="3"/>
  <c r="K181" i="3"/>
  <c r="R138" i="3"/>
  <c r="B117" i="3"/>
  <c r="R211" i="3"/>
  <c r="B241" i="3"/>
  <c r="T235" i="3"/>
  <c r="Y212" i="3"/>
  <c r="O107" i="3"/>
  <c r="F152" i="3"/>
  <c r="U49" i="3"/>
  <c r="H172" i="3"/>
  <c r="Z38" i="3"/>
  <c r="Y206" i="3"/>
  <c r="A164" i="3"/>
  <c r="S219" i="3"/>
  <c r="J175" i="3"/>
  <c r="L186" i="3"/>
  <c r="H26" i="3"/>
  <c r="W225" i="3"/>
  <c r="J229" i="3"/>
  <c r="L149" i="3"/>
  <c r="AB14" i="3"/>
  <c r="A159" i="3"/>
  <c r="O28" i="3"/>
  <c r="Q187" i="3"/>
  <c r="A224" i="3"/>
  <c r="P26" i="3"/>
  <c r="V88" i="3"/>
  <c r="B104" i="3"/>
  <c r="K23" i="3"/>
  <c r="A189" i="3"/>
  <c r="P255" i="3"/>
  <c r="O153" i="3"/>
  <c r="I99" i="3"/>
  <c r="AB60" i="3"/>
  <c r="U167" i="3"/>
  <c r="T131" i="3"/>
  <c r="B73" i="3"/>
  <c r="Q167" i="3"/>
  <c r="B146" i="3"/>
  <c r="D77" i="3"/>
  <c r="Z249" i="3"/>
  <c r="J61" i="3"/>
  <c r="T230" i="3"/>
  <c r="K140" i="3"/>
  <c r="W107" i="3"/>
  <c r="U26" i="3"/>
  <c r="Y19" i="3"/>
  <c r="W157" i="3"/>
  <c r="F248" i="3"/>
  <c r="Z36" i="3"/>
  <c r="Z98" i="3"/>
  <c r="A32" i="3"/>
  <c r="O194" i="3"/>
  <c r="A128" i="3"/>
  <c r="P88" i="3"/>
  <c r="U133" i="3"/>
  <c r="F223" i="3"/>
  <c r="R140" i="3"/>
  <c r="A165" i="3"/>
  <c r="Z77" i="3"/>
  <c r="T109" i="3"/>
  <c r="X117" i="3"/>
  <c r="Y62" i="3"/>
  <c r="T188" i="3"/>
  <c r="F126" i="3"/>
  <c r="X239" i="3"/>
  <c r="AB24" i="3"/>
  <c r="G106" i="3"/>
  <c r="S85" i="3"/>
  <c r="S37" i="3"/>
  <c r="E211" i="3"/>
  <c r="W79" i="3"/>
  <c r="W252" i="3"/>
  <c r="AC3" i="3"/>
  <c r="Q183" i="3"/>
  <c r="AB147" i="3"/>
  <c r="I81" i="3"/>
  <c r="L193" i="3"/>
  <c r="K178" i="3"/>
  <c r="W83" i="3"/>
  <c r="C78" i="3"/>
  <c r="J232" i="3"/>
  <c r="AC92" i="3"/>
  <c r="U52" i="3"/>
  <c r="R218" i="3"/>
  <c r="E85" i="3"/>
  <c r="W90" i="3"/>
  <c r="T195" i="3"/>
  <c r="AA137" i="3"/>
  <c r="AB141" i="3"/>
  <c r="Z171" i="3"/>
  <c r="AB55" i="3"/>
  <c r="G67" i="3"/>
  <c r="I253" i="3"/>
  <c r="H242" i="3"/>
  <c r="AD209" i="3"/>
  <c r="B187" i="3"/>
  <c r="C191" i="3"/>
  <c r="O177" i="3"/>
  <c r="T144" i="3"/>
  <c r="N219" i="3"/>
  <c r="M154" i="3"/>
  <c r="H114" i="3"/>
  <c r="M112" i="3"/>
  <c r="AA160" i="3"/>
  <c r="Z186" i="3"/>
  <c r="V222" i="3"/>
  <c r="A163" i="3"/>
  <c r="U149" i="3"/>
  <c r="N206" i="3"/>
  <c r="I203" i="3"/>
  <c r="AA62" i="3"/>
  <c r="V186" i="3"/>
  <c r="S248" i="3"/>
  <c r="M169" i="3"/>
  <c r="A150" i="3"/>
  <c r="Z175" i="3"/>
  <c r="A9" i="3"/>
  <c r="M64" i="3"/>
  <c r="D192" i="3"/>
  <c r="U148" i="3"/>
  <c r="J184" i="3"/>
  <c r="Y142" i="3"/>
  <c r="G108" i="3"/>
  <c r="T166" i="3"/>
  <c r="G49" i="3"/>
  <c r="I242" i="3"/>
  <c r="I226" i="3"/>
  <c r="G129" i="3"/>
  <c r="AA79" i="3"/>
  <c r="AA76" i="3"/>
  <c r="U181" i="3"/>
  <c r="R208" i="3"/>
  <c r="AA212" i="3"/>
  <c r="V80" i="3"/>
  <c r="W78" i="3"/>
  <c r="X85" i="3"/>
  <c r="Q4" i="3"/>
  <c r="K146" i="3"/>
  <c r="G74" i="3"/>
  <c r="D29" i="3"/>
  <c r="Q124" i="3"/>
  <c r="N80" i="3"/>
  <c r="AD102" i="3"/>
  <c r="AC88" i="3"/>
  <c r="F9" i="3"/>
  <c r="L22" i="3"/>
  <c r="AA189" i="3"/>
  <c r="Y54" i="3"/>
  <c r="C92" i="3"/>
  <c r="T63" i="3"/>
  <c r="Z119" i="3"/>
  <c r="Q132" i="3"/>
  <c r="V110" i="3"/>
  <c r="AC19" i="3"/>
  <c r="K162" i="3"/>
  <c r="G52" i="3"/>
  <c r="S28" i="3"/>
  <c r="O106" i="3"/>
  <c r="Z61" i="3"/>
  <c r="S237" i="3"/>
  <c r="S136" i="3"/>
  <c r="F173" i="3"/>
  <c r="R139" i="3"/>
  <c r="R63" i="3"/>
  <c r="B126" i="3"/>
  <c r="L107" i="3"/>
  <c r="AB181" i="3"/>
  <c r="M62" i="3"/>
  <c r="AD229" i="3"/>
  <c r="P77" i="3"/>
  <c r="AC156" i="3"/>
  <c r="W209" i="3"/>
  <c r="AC26" i="3"/>
  <c r="C230" i="3"/>
  <c r="L171" i="3"/>
  <c r="E234" i="3"/>
  <c r="K33" i="3"/>
  <c r="H213" i="3"/>
  <c r="D218" i="3"/>
  <c r="V84" i="3"/>
  <c r="P15" i="3"/>
  <c r="O56" i="3"/>
  <c r="F96" i="3"/>
  <c r="H17" i="3"/>
  <c r="AA153" i="3"/>
  <c r="F138" i="3"/>
  <c r="E162" i="3"/>
  <c r="O230" i="3"/>
  <c r="AB86" i="3"/>
  <c r="W231" i="3"/>
  <c r="AD181" i="3"/>
  <c r="M185" i="3"/>
  <c r="A247" i="3"/>
  <c r="I18" i="3"/>
  <c r="W33" i="3"/>
  <c r="J83" i="3"/>
  <c r="F191" i="3"/>
  <c r="Y153" i="3"/>
  <c r="AB149" i="3"/>
  <c r="W67" i="3"/>
  <c r="Z246" i="3"/>
  <c r="AC179" i="3"/>
  <c r="P155" i="3"/>
  <c r="R23" i="3"/>
  <c r="S94" i="3"/>
  <c r="H152" i="3"/>
  <c r="W165" i="3"/>
  <c r="AA78" i="3"/>
  <c r="Y157" i="3"/>
  <c r="Y126" i="3"/>
  <c r="AB88" i="3"/>
  <c r="D45" i="3"/>
  <c r="C202" i="3"/>
  <c r="C216" i="3"/>
  <c r="AD202" i="3"/>
  <c r="AD131" i="3"/>
  <c r="U177" i="3"/>
  <c r="B147" i="3"/>
  <c r="U102" i="3"/>
  <c r="Y30" i="3"/>
  <c r="Y222" i="3"/>
  <c r="F13" i="3"/>
  <c r="O164" i="3"/>
  <c r="S118" i="3"/>
  <c r="W241" i="3"/>
  <c r="S23" i="3"/>
  <c r="K152" i="3"/>
  <c r="AA226" i="3"/>
  <c r="A35" i="3"/>
  <c r="Q64" i="3"/>
  <c r="K19" i="3"/>
  <c r="E215" i="3"/>
  <c r="AD217" i="3"/>
  <c r="O154" i="3"/>
  <c r="L244" i="3"/>
  <c r="O68" i="3"/>
  <c r="K92" i="3"/>
  <c r="D241" i="3"/>
  <c r="AC21" i="3"/>
  <c r="B182" i="3"/>
  <c r="B196" i="3"/>
  <c r="M40" i="3"/>
  <c r="W216" i="3"/>
  <c r="K247" i="3"/>
  <c r="C157" i="3"/>
  <c r="K63" i="3"/>
  <c r="F42" i="3"/>
  <c r="Y250" i="3"/>
  <c r="F8" i="3"/>
  <c r="B44" i="3"/>
  <c r="AD138" i="3"/>
  <c r="P201" i="3"/>
  <c r="O63" i="3"/>
  <c r="S130" i="3"/>
  <c r="W111" i="3"/>
  <c r="Z141" i="3"/>
  <c r="K196" i="3"/>
  <c r="O211" i="3"/>
  <c r="AA8" i="3"/>
  <c r="G71" i="3"/>
  <c r="V168" i="3"/>
  <c r="Q162" i="3"/>
  <c r="P146" i="3"/>
  <c r="U253" i="3"/>
  <c r="Y209" i="3"/>
  <c r="H201" i="3"/>
  <c r="AD238" i="3"/>
  <c r="W155" i="3"/>
  <c r="L202" i="3"/>
  <c r="M179" i="3"/>
  <c r="L213" i="3"/>
  <c r="H223" i="3"/>
  <c r="E154" i="3"/>
  <c r="C158" i="3"/>
  <c r="H126" i="3"/>
  <c r="AB127" i="3"/>
  <c r="Z57" i="3"/>
  <c r="T128" i="3"/>
  <c r="I7" i="3"/>
  <c r="K15" i="3"/>
  <c r="G126" i="3"/>
  <c r="AA9" i="3"/>
  <c r="AB197" i="3"/>
  <c r="I238" i="3"/>
  <c r="A49" i="3"/>
  <c r="U206" i="3"/>
  <c r="O149" i="3"/>
  <c r="G30" i="3"/>
  <c r="Z138" i="3"/>
  <c r="F123" i="3"/>
  <c r="H81" i="3"/>
  <c r="E31" i="3"/>
  <c r="A207" i="3"/>
  <c r="O206" i="3"/>
  <c r="C151" i="3"/>
  <c r="AB57" i="3"/>
  <c r="K185" i="3"/>
  <c r="Y60" i="3"/>
  <c r="V10" i="3"/>
  <c r="W35" i="3"/>
  <c r="AA177" i="3"/>
  <c r="H240" i="3"/>
  <c r="S19" i="3"/>
  <c r="N182" i="3"/>
  <c r="O225" i="3"/>
  <c r="T146" i="3"/>
  <c r="X149" i="3"/>
  <c r="U236" i="3"/>
  <c r="I143" i="3"/>
  <c r="I117" i="3"/>
  <c r="AB212" i="3"/>
  <c r="S253" i="3"/>
  <c r="G114" i="3"/>
  <c r="AA48" i="3"/>
  <c r="H65" i="3"/>
  <c r="AA174" i="3"/>
  <c r="X144" i="3"/>
  <c r="I182" i="3"/>
  <c r="P25" i="3"/>
  <c r="AC194" i="3"/>
  <c r="U230" i="3"/>
  <c r="H74" i="3"/>
  <c r="G128" i="3"/>
  <c r="G48" i="3"/>
  <c r="H2" i="3"/>
  <c r="T149" i="3"/>
  <c r="W160" i="3"/>
  <c r="X151" i="3"/>
  <c r="X145" i="3"/>
  <c r="Z56" i="3"/>
  <c r="Y25" i="3"/>
  <c r="N93" i="3"/>
  <c r="V160" i="3"/>
  <c r="R74" i="3"/>
  <c r="Z90" i="3"/>
  <c r="G220" i="3"/>
  <c r="S18" i="3"/>
  <c r="Z156" i="3"/>
  <c r="W180" i="3"/>
  <c r="X6" i="3"/>
  <c r="B107" i="3"/>
  <c r="F179" i="3"/>
  <c r="AD47" i="3"/>
  <c r="P228" i="3"/>
  <c r="AA151" i="3"/>
  <c r="C194" i="3"/>
  <c r="K48" i="3"/>
  <c r="S243" i="3"/>
  <c r="T178" i="3"/>
  <c r="M212" i="3"/>
  <c r="AD59" i="3"/>
  <c r="E177" i="3"/>
  <c r="L221" i="3"/>
  <c r="Z170" i="3"/>
  <c r="E57" i="3"/>
  <c r="M142" i="3"/>
  <c r="Y99" i="3"/>
  <c r="AD141" i="3"/>
  <c r="S157" i="3"/>
  <c r="C75" i="3"/>
  <c r="I158" i="3"/>
  <c r="Q226" i="3"/>
  <c r="P170" i="3"/>
  <c r="M78" i="3"/>
  <c r="S91" i="3"/>
  <c r="K145" i="3"/>
  <c r="AA4" i="3"/>
  <c r="B88" i="3"/>
  <c r="X169" i="3"/>
  <c r="AB79" i="3"/>
  <c r="AA51" i="3"/>
  <c r="V152" i="3"/>
  <c r="Z31" i="3"/>
  <c r="C81" i="3"/>
  <c r="P147" i="3"/>
  <c r="Y235" i="3"/>
  <c r="Z153" i="3"/>
  <c r="J159" i="3"/>
  <c r="A110" i="3"/>
  <c r="Y118" i="3"/>
  <c r="C182" i="3"/>
  <c r="AB115" i="3"/>
  <c r="AC212" i="3"/>
  <c r="U82" i="3"/>
  <c r="A77" i="3"/>
  <c r="O55" i="3"/>
  <c r="W20" i="3"/>
  <c r="C248" i="3"/>
  <c r="R231" i="3"/>
  <c r="W249" i="3"/>
  <c r="K244" i="3"/>
  <c r="A157" i="3"/>
  <c r="M193" i="3"/>
  <c r="D170" i="3"/>
  <c r="I22" i="3"/>
  <c r="AC79" i="3"/>
  <c r="Y202" i="3"/>
  <c r="AC174" i="3"/>
  <c r="M5" i="3"/>
  <c r="L169" i="3"/>
  <c r="AC210" i="3"/>
  <c r="Z224" i="3"/>
  <c r="AC50" i="3"/>
  <c r="H156" i="3"/>
  <c r="A73" i="3"/>
  <c r="Z247" i="3"/>
  <c r="P143" i="3"/>
  <c r="X131" i="3"/>
  <c r="D225" i="3"/>
  <c r="R188" i="3"/>
  <c r="AD227" i="3"/>
  <c r="L75" i="3"/>
  <c r="P23" i="3"/>
  <c r="O208" i="3"/>
  <c r="P135" i="3"/>
  <c r="S162" i="3"/>
  <c r="S10" i="3"/>
  <c r="N183" i="3"/>
  <c r="V63" i="3"/>
  <c r="Y179" i="3"/>
  <c r="G36" i="3"/>
  <c r="E142" i="3"/>
  <c r="U185" i="3"/>
  <c r="K28" i="3"/>
  <c r="Y245" i="3"/>
  <c r="J180" i="3"/>
  <c r="I141" i="3"/>
  <c r="Q14" i="3"/>
  <c r="K32" i="3"/>
  <c r="R171" i="3"/>
  <c r="R33" i="3"/>
  <c r="X43" i="3"/>
  <c r="AC240" i="3"/>
  <c r="M206" i="3"/>
  <c r="Y23" i="3"/>
  <c r="R222" i="3"/>
  <c r="AB178" i="3"/>
  <c r="H199" i="3"/>
  <c r="W178" i="3"/>
  <c r="U243" i="3"/>
  <c r="N96" i="3"/>
  <c r="H146" i="3"/>
  <c r="T40" i="3"/>
  <c r="M241" i="3"/>
  <c r="W204" i="3"/>
  <c r="J211" i="3"/>
  <c r="I184" i="3"/>
  <c r="B19" i="3"/>
  <c r="E143" i="3"/>
  <c r="P80" i="3"/>
  <c r="Z60" i="3"/>
  <c r="AA155" i="3"/>
  <c r="AC67" i="3"/>
  <c r="X214" i="3"/>
  <c r="V137" i="3"/>
  <c r="J4" i="3"/>
  <c r="Y93" i="3"/>
  <c r="AC52" i="3"/>
  <c r="K125" i="3"/>
  <c r="F36" i="3"/>
  <c r="AA225" i="3"/>
  <c r="F135" i="3"/>
  <c r="B103" i="3"/>
  <c r="W169" i="3"/>
  <c r="H150" i="3"/>
  <c r="L206" i="3"/>
  <c r="W138" i="3"/>
  <c r="O65" i="3"/>
  <c r="N237" i="3"/>
  <c r="K102" i="3"/>
  <c r="E95" i="3"/>
  <c r="C218" i="3"/>
  <c r="N105" i="3"/>
  <c r="Z173" i="3"/>
  <c r="M161" i="3"/>
  <c r="L229" i="3"/>
  <c r="J31" i="3"/>
  <c r="L158" i="3"/>
  <c r="AD57" i="3"/>
  <c r="C149" i="3"/>
  <c r="S159" i="3"/>
  <c r="O150" i="3"/>
  <c r="U43" i="3"/>
  <c r="V17" i="3"/>
  <c r="D62" i="3"/>
  <c r="V235" i="3"/>
  <c r="T129" i="3"/>
  <c r="K192" i="3"/>
  <c r="AC119" i="3"/>
  <c r="K126" i="3"/>
  <c r="R78" i="3"/>
  <c r="V71" i="3"/>
  <c r="D248" i="3"/>
  <c r="A195" i="3"/>
  <c r="W176" i="3"/>
  <c r="N184" i="3"/>
  <c r="AB170" i="3"/>
  <c r="A20" i="3"/>
  <c r="V5" i="3"/>
  <c r="Z167" i="3"/>
  <c r="K37" i="3"/>
  <c r="Z146" i="3"/>
  <c r="O58" i="3"/>
  <c r="J63" i="3"/>
  <c r="AC215" i="3"/>
  <c r="AA163" i="3"/>
  <c r="S155" i="3"/>
  <c r="L173" i="3"/>
  <c r="E76" i="3"/>
  <c r="AA97" i="3"/>
  <c r="P253" i="3"/>
  <c r="AA92" i="3"/>
  <c r="AA70" i="3"/>
  <c r="Y191" i="3"/>
  <c r="D189" i="3"/>
  <c r="A41" i="3"/>
  <c r="S208" i="3"/>
  <c r="Z162" i="3"/>
  <c r="Z126" i="3"/>
  <c r="I14" i="3"/>
  <c r="E158" i="3"/>
  <c r="Z29" i="3"/>
  <c r="Q231" i="3"/>
  <c r="AB198" i="3"/>
  <c r="A243" i="3"/>
  <c r="AC97" i="3"/>
  <c r="B234" i="3"/>
  <c r="AC122" i="3"/>
  <c r="C186" i="3"/>
  <c r="H227" i="3"/>
  <c r="AB78" i="3"/>
  <c r="O157" i="3"/>
  <c r="F25" i="3"/>
  <c r="O252" i="3"/>
  <c r="S144" i="3"/>
  <c r="M211" i="3"/>
  <c r="O163" i="3"/>
  <c r="B26" i="3"/>
  <c r="F194" i="3"/>
  <c r="Y182" i="3"/>
  <c r="N216" i="3"/>
  <c r="AD180" i="3"/>
  <c r="K242" i="3"/>
  <c r="P254" i="3"/>
  <c r="V119" i="3"/>
  <c r="Q6" i="3"/>
  <c r="Q60" i="3"/>
  <c r="AD195" i="3"/>
  <c r="C135" i="3"/>
  <c r="A211" i="3"/>
  <c r="AD114" i="3"/>
  <c r="G244" i="3"/>
  <c r="Q145" i="3"/>
  <c r="G175" i="3"/>
  <c r="U189" i="3"/>
  <c r="Z220" i="3"/>
  <c r="G219" i="3"/>
  <c r="AD194" i="3"/>
  <c r="C84" i="3"/>
  <c r="AC183" i="3"/>
  <c r="AD116" i="3"/>
  <c r="N234" i="3"/>
  <c r="G195" i="3"/>
  <c r="M87" i="3"/>
  <c r="P27" i="3"/>
  <c r="W224" i="3"/>
  <c r="AB189" i="3"/>
  <c r="AC15" i="3"/>
  <c r="W145" i="3"/>
  <c r="S140" i="3"/>
  <c r="F111" i="3"/>
  <c r="S55" i="3"/>
  <c r="C163" i="3"/>
  <c r="AB87" i="3"/>
  <c r="Q150" i="3"/>
  <c r="P252" i="3"/>
  <c r="W233" i="3"/>
  <c r="AD110" i="3"/>
  <c r="AC76" i="3"/>
  <c r="V139" i="3"/>
  <c r="Q210" i="3"/>
  <c r="U199" i="3"/>
  <c r="Y137" i="3"/>
  <c r="M47" i="3"/>
  <c r="Q87" i="3"/>
  <c r="B122" i="3"/>
  <c r="A216" i="3"/>
  <c r="J162" i="3"/>
  <c r="M164" i="3"/>
  <c r="T168" i="3"/>
  <c r="O218" i="3"/>
  <c r="Q189" i="3"/>
  <c r="L37" i="3"/>
  <c r="Y68" i="3"/>
  <c r="U48" i="3"/>
  <c r="I180" i="3"/>
  <c r="N142" i="3"/>
  <c r="R173" i="3"/>
  <c r="F48" i="3"/>
  <c r="G234" i="3"/>
  <c r="Z237" i="3"/>
  <c r="T16" i="3"/>
  <c r="J163" i="3"/>
  <c r="G101" i="3"/>
  <c r="AC185" i="3"/>
  <c r="X183" i="3"/>
  <c r="P142" i="3"/>
  <c r="J120" i="3"/>
  <c r="O191" i="3"/>
  <c r="Q227" i="3"/>
  <c r="M215" i="3"/>
  <c r="N103" i="3"/>
  <c r="N55" i="3"/>
  <c r="V135" i="3"/>
  <c r="R106" i="3"/>
  <c r="P186" i="3"/>
  <c r="Y75" i="3"/>
  <c r="O2" i="3" a="1"/>
  <c r="E2" i="3" a="1"/>
  <c r="R2" i="3" a="1"/>
  <c r="D2" i="3" a="1"/>
  <c r="A32" i="4" l="1"/>
  <c r="A247" i="4"/>
  <c r="A194" i="4"/>
  <c r="A226" i="4"/>
  <c r="A151" i="4"/>
  <c r="A210" i="4"/>
  <c r="A88" i="4"/>
  <c r="A236" i="4"/>
  <c r="A35" i="4"/>
  <c r="D2" i="3"/>
  <c r="R2" i="3"/>
  <c r="E2" i="3"/>
  <c r="O2" i="3"/>
  <c r="A128" i="4"/>
  <c r="A189" i="4"/>
  <c r="A51" i="4"/>
  <c r="A60" i="4"/>
  <c r="A213" i="4"/>
  <c r="A122" i="4"/>
  <c r="A176" i="4"/>
  <c r="A254" i="4"/>
  <c r="A86" i="4"/>
  <c r="A90" i="4"/>
  <c r="A145" i="4"/>
  <c r="A64" i="4"/>
  <c r="A240" i="4"/>
  <c r="A69" i="4"/>
  <c r="A62" i="4"/>
  <c r="A124" i="4"/>
  <c r="A127" i="4"/>
  <c r="A238" i="4"/>
  <c r="A95" i="4"/>
  <c r="A72" i="4"/>
  <c r="A173" i="4"/>
  <c r="A78" i="4"/>
  <c r="A39" i="4"/>
  <c r="A7" i="4"/>
  <c r="A102" i="4"/>
  <c r="A207" i="4"/>
  <c r="A251" i="4"/>
  <c r="A18" i="4"/>
  <c r="A75" i="4"/>
  <c r="A121" i="4"/>
  <c r="A38" i="4"/>
  <c r="A23" i="4"/>
  <c r="A25" i="4"/>
  <c r="A16" i="4"/>
  <c r="A196" i="4"/>
  <c r="A140" i="4"/>
  <c r="A167" i="4"/>
  <c r="A65" i="4"/>
  <c r="A170" i="4"/>
  <c r="A203" i="4"/>
  <c r="A198" i="4"/>
  <c r="A190" i="4"/>
  <c r="A79" i="4"/>
  <c r="A193" i="4"/>
  <c r="A114" i="4"/>
  <c r="A197" i="4"/>
  <c r="A202" i="4"/>
  <c r="A6" i="4"/>
  <c r="A143" i="4"/>
  <c r="A195" i="4"/>
  <c r="A152" i="4"/>
  <c r="A200" i="4"/>
  <c r="A144" i="4"/>
  <c r="A221" i="4"/>
  <c r="A98" i="4"/>
  <c r="A255" i="4"/>
  <c r="A148" i="4"/>
  <c r="A11" i="4"/>
  <c r="A19" i="4"/>
  <c r="A156" i="4"/>
  <c r="A130" i="4"/>
  <c r="A229" i="4"/>
  <c r="A168" i="4"/>
  <c r="A222" i="4"/>
  <c r="A125" i="4"/>
  <c r="A172" i="4"/>
  <c r="A217" i="4"/>
  <c r="A87" i="4"/>
  <c r="A131" i="4"/>
  <c r="A56" i="4"/>
  <c r="A154" i="4"/>
  <c r="A215" i="4"/>
  <c r="A137" i="4"/>
  <c r="A81" i="4"/>
  <c r="A249" i="4"/>
  <c r="A208" i="4"/>
  <c r="A101" i="4"/>
  <c r="A192" i="4"/>
  <c r="A146" i="4"/>
  <c r="A107" i="4"/>
  <c r="A253" i="4"/>
  <c r="A169" i="4"/>
  <c r="A34" i="4"/>
  <c r="A117" i="4"/>
  <c r="A41" i="4"/>
  <c r="A224" i="4"/>
  <c r="A164" i="4"/>
  <c r="A61" i="4"/>
  <c r="A84" i="4"/>
  <c r="A191" i="4"/>
  <c r="A178" i="4"/>
  <c r="A201" i="4"/>
  <c r="A204" i="4"/>
  <c r="A54" i="4"/>
  <c r="A40" i="4"/>
  <c r="A68" i="4"/>
  <c r="A234" i="4"/>
  <c r="A28" i="4"/>
  <c r="A153" i="4"/>
  <c r="A52" i="4"/>
  <c r="A179" i="4"/>
  <c r="A126" i="4"/>
  <c r="A225" i="4"/>
  <c r="A58" i="4"/>
  <c r="A85" i="4"/>
  <c r="A220" i="4"/>
  <c r="A15" i="4"/>
  <c r="A245" i="4"/>
  <c r="A77" i="4"/>
  <c r="A136" i="4"/>
  <c r="A216" i="4"/>
  <c r="A163" i="4"/>
  <c r="A231" i="4"/>
  <c r="A89" i="4"/>
  <c r="A139" i="4"/>
  <c r="A26" i="4"/>
  <c r="A177" i="4"/>
  <c r="A96" i="4"/>
  <c r="A214" i="4"/>
  <c r="A162" i="4"/>
  <c r="A161" i="4"/>
  <c r="A22" i="4"/>
  <c r="A158" i="4"/>
  <c r="A113" i="4"/>
  <c r="A244" i="4"/>
  <c r="A94" i="4"/>
  <c r="A174" i="4"/>
  <c r="A108" i="4"/>
  <c r="A46" i="4"/>
  <c r="A42" i="4"/>
  <c r="A115" i="4"/>
  <c r="A132" i="4"/>
  <c r="A100" i="4"/>
  <c r="A211" i="4"/>
  <c r="A165" i="4"/>
  <c r="A83" i="4"/>
  <c r="A232" i="4"/>
  <c r="A97" i="4"/>
  <c r="A135" i="4"/>
  <c r="A133" i="4"/>
  <c r="A142" i="4"/>
  <c r="A250" i="4"/>
  <c r="A53" i="4"/>
  <c r="A33" i="4"/>
  <c r="A212" i="4"/>
  <c r="A66" i="4"/>
  <c r="A4" i="4"/>
  <c r="A206" i="4"/>
  <c r="A43" i="4"/>
  <c r="A183" i="4"/>
  <c r="A129" i="4"/>
  <c r="A120" i="4"/>
  <c r="A227" i="4"/>
  <c r="A48" i="4"/>
  <c r="A233" i="4"/>
  <c r="A243" i="4"/>
  <c r="A73" i="4"/>
  <c r="A49" i="4"/>
  <c r="A9" i="4"/>
  <c r="A159" i="4"/>
  <c r="A242" i="4"/>
  <c r="A8" i="4"/>
  <c r="A55" i="4"/>
  <c r="A82" i="4"/>
  <c r="A134" i="4"/>
  <c r="A80" i="4"/>
  <c r="A155" i="4"/>
  <c r="A141" i="4"/>
  <c r="A188" i="4"/>
  <c r="A105" i="4"/>
  <c r="A112" i="4"/>
  <c r="A21" i="4"/>
  <c r="A14" i="4"/>
  <c r="A166" i="4"/>
  <c r="A237" i="4"/>
  <c r="A76" i="4"/>
  <c r="A104" i="4"/>
  <c r="A71" i="4"/>
  <c r="A30" i="4"/>
  <c r="A160" i="4"/>
  <c r="A57" i="4"/>
  <c r="A149" i="4"/>
  <c r="A116" i="4"/>
  <c r="A47" i="4"/>
  <c r="A27" i="4"/>
  <c r="A29" i="4"/>
  <c r="A12" i="4"/>
  <c r="A45" i="4"/>
  <c r="A50" i="4"/>
  <c r="A223" i="4"/>
  <c r="A230" i="4"/>
  <c r="A59" i="4"/>
  <c r="A63" i="4"/>
  <c r="A182" i="4"/>
  <c r="A99" i="4"/>
  <c r="A228" i="4"/>
  <c r="A109" i="4"/>
  <c r="A91" i="4"/>
  <c r="A138" i="4"/>
  <c r="A219" i="4"/>
  <c r="A218" i="4"/>
  <c r="A110" i="4"/>
  <c r="A150" i="4"/>
  <c r="A171" i="4"/>
  <c r="A37" i="4"/>
  <c r="A248" i="4"/>
  <c r="A106" i="4"/>
  <c r="A241" i="4"/>
  <c r="A175" i="4"/>
  <c r="A180" i="4"/>
  <c r="A5" i="4"/>
  <c r="A24" i="4"/>
  <c r="A186" i="4"/>
  <c r="A74" i="4"/>
  <c r="A13" i="4"/>
  <c r="A119" i="4"/>
  <c r="A199" i="4"/>
  <c r="A3" i="4"/>
  <c r="A67" i="4"/>
  <c r="A17" i="4"/>
  <c r="A44" i="4"/>
  <c r="A157" i="4"/>
  <c r="A239" i="4"/>
  <c r="A93" i="4"/>
  <c r="A118" i="4"/>
  <c r="A20" i="4"/>
  <c r="A205" i="4"/>
  <c r="A103" i="4"/>
  <c r="A111" i="4"/>
  <c r="A246" i="4"/>
  <c r="A92" i="4"/>
  <c r="A187" i="4"/>
  <c r="A209" i="4"/>
  <c r="A123" i="4"/>
  <c r="A31" i="4"/>
  <c r="A235" i="4"/>
  <c r="A184" i="4"/>
  <c r="A181" i="4"/>
  <c r="A70" i="4"/>
  <c r="A147" i="4"/>
  <c r="A36" i="4"/>
  <c r="A10" i="4"/>
  <c r="A185" i="4"/>
  <c r="A252" i="4"/>
  <c r="A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1" authorId="0" shapeId="0" xr:uid="{79705FEA-0CC0-427A-AFD3-4D4F145CE2B5}">
      <text>
        <r>
          <rPr>
            <b/>
            <sz val="9"/>
            <color indexed="81"/>
            <rFont val="MS P ゴシック"/>
            <family val="3"/>
            <charset val="128"/>
          </rPr>
          <t>="horizontalLayout_"&amp;INT((ROW()-2) / 3)&amp;"_"</t>
        </r>
      </text>
    </comment>
    <comment ref="I2" authorId="0" shapeId="0" xr:uid="{3271CFBB-6E33-45FE-A3BA-7182F2F7DA75}">
      <text>
        <r>
          <rPr>
            <b/>
            <sz val="9"/>
            <color indexed="81"/>
            <rFont val="MS P ゴシック"/>
            <family val="3"/>
            <charset val="128"/>
          </rPr>
          <t>postnum
pref
city
town
city-town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<sst xmlns="http://schemas.openxmlformats.org/spreadsheetml/2006/main" count="875" uniqueCount="434">
  <si>
    <t>target_csv_path</t>
    <phoneticPr fontId="1"/>
  </si>
  <si>
    <t>index</t>
  </si>
  <si>
    <t>display_name</t>
  </si>
  <si>
    <t>label_name</t>
  </si>
  <si>
    <t>line_edit_name</t>
  </si>
  <si>
    <t>is_last</t>
  </si>
  <si>
    <t>is_last</t>
    <phoneticPr fontId="1"/>
  </si>
  <si>
    <t>int_columns</t>
    <phoneticPr fontId="1"/>
  </si>
  <si>
    <t>line_edit_obj</t>
    <phoneticPr fontId="1"/>
  </si>
  <si>
    <t>data_type</t>
    <phoneticPr fontId="1"/>
  </si>
  <si>
    <t>str</t>
    <phoneticPr fontId="1"/>
  </si>
  <si>
    <t>type_list</t>
    <phoneticPr fontId="1"/>
  </si>
  <si>
    <t>en</t>
    <phoneticPr fontId="1"/>
  </si>
  <si>
    <t>ime_mode</t>
    <phoneticPr fontId="1"/>
  </si>
  <si>
    <t>pn_auto_input</t>
    <phoneticPr fontId="1"/>
  </si>
  <si>
    <t>text_conversion</t>
  </si>
  <si>
    <t>label_obj</t>
    <phoneticPr fontId="1"/>
  </si>
  <si>
    <t>frame_a_obj</t>
    <phoneticPr fontId="1"/>
  </si>
  <si>
    <t>frame_b_obj</t>
    <phoneticPr fontId="1"/>
  </si>
  <si>
    <t>frame_a_name</t>
    <phoneticPr fontId="1"/>
  </si>
  <si>
    <t>frame_b_name</t>
    <phoneticPr fontId="1"/>
  </si>
  <si>
    <t>layout_a_name</t>
    <phoneticPr fontId="1"/>
  </si>
  <si>
    <t>layout_a_obj</t>
    <phoneticPr fontId="1"/>
  </si>
  <si>
    <t>layout_b_name</t>
    <phoneticPr fontId="1"/>
  </si>
  <si>
    <t>layout_b_obj</t>
    <phoneticPr fontId="1"/>
  </si>
  <si>
    <t>info</t>
    <phoneticPr fontId="1"/>
  </si>
  <si>
    <t>is_rept</t>
    <phoneticPr fontId="1"/>
  </si>
  <si>
    <t>False</t>
    <phoneticPr fontId="1"/>
  </si>
  <si>
    <t>True</t>
    <phoneticPr fontId="1"/>
  </si>
  <si>
    <t>is_show</t>
    <phoneticPr fontId="1"/>
  </si>
  <si>
    <t>list_item</t>
    <phoneticPr fontId="1"/>
  </si>
  <si>
    <t>name</t>
    <phoneticPr fontId="1"/>
  </si>
  <si>
    <t>conv</t>
    <phoneticPr fontId="1"/>
  </si>
  <si>
    <t>replace_keys</t>
    <phoneticPr fontId="1"/>
  </si>
  <si>
    <t>replace_values</t>
    <phoneticPr fontId="1"/>
  </si>
  <si>
    <t>int_hankaku</t>
  </si>
  <si>
    <t>str_hankaku</t>
  </si>
  <si>
    <t>type</t>
    <phoneticPr fontId="1"/>
  </si>
  <si>
    <t>int_hankaku_inli</t>
  </si>
  <si>
    <t>is_b_line_show</t>
    <phoneticPr fontId="1"/>
  </si>
  <si>
    <t>list</t>
    <phoneticPr fontId="1"/>
  </si>
  <si>
    <t>min</t>
    <phoneticPr fontId="1"/>
  </si>
  <si>
    <t>max</t>
    <phoneticPr fontId="1"/>
  </si>
  <si>
    <t>str_hankaku_maxlen</t>
  </si>
  <si>
    <t>int_hankaku_maxlen</t>
  </si>
  <si>
    <t>半角整数</t>
    <rPh sb="0" eb="2">
      <t>ハンカク</t>
    </rPh>
    <rPh sb="2" eb="4">
      <t>セイスウ</t>
    </rPh>
    <phoneticPr fontId="1"/>
  </si>
  <si>
    <t>半角文字列</t>
    <rPh sb="0" eb="2">
      <t>ハンカク</t>
    </rPh>
    <rPh sb="2" eb="4">
      <t>モジ</t>
    </rPh>
    <rPh sb="4" eb="5">
      <t>レツ</t>
    </rPh>
    <phoneticPr fontId="1"/>
  </si>
  <si>
    <t>min_max</t>
    <phoneticPr fontId="1"/>
  </si>
  <si>
    <t>inli_text</t>
    <phoneticPr fontId="1"/>
  </si>
  <si>
    <t>list2</t>
    <phoneticPr fontId="1"/>
  </si>
  <si>
    <t>list2_</t>
    <phoneticPr fontId="1"/>
  </si>
  <si>
    <t>min_</t>
    <phoneticPr fontId="1"/>
  </si>
  <si>
    <t>max_</t>
    <phoneticPr fontId="1"/>
  </si>
  <si>
    <t>min_max</t>
    <phoneticPr fontId="1"/>
  </si>
  <si>
    <t>int_hankaku_range</t>
  </si>
  <si>
    <t>氏名</t>
    <rPh sb="0" eb="2">
      <t>シメイ</t>
    </rPh>
    <phoneticPr fontId="1"/>
  </si>
  <si>
    <t>電話番号</t>
    <rPh sb="0" eb="4">
      <t>デンワバンゴウ</t>
    </rPh>
    <phoneticPr fontId="1"/>
  </si>
  <si>
    <t>jp</t>
    <phoneticPr fontId="1"/>
  </si>
  <si>
    <t>zenkaku</t>
  </si>
  <si>
    <t>hankaku</t>
  </si>
  <si>
    <t>半角文字列</t>
    <rPh sb="0" eb="2">
      <t>ハンカク</t>
    </rPh>
    <rPh sb="2" eb="5">
      <t>モジレツ</t>
    </rPh>
    <phoneticPr fontId="1"/>
  </si>
  <si>
    <t>length</t>
    <phoneticPr fontId="1"/>
  </si>
  <si>
    <t>hankaku_eisu</t>
    <phoneticPr fontId="1"/>
  </si>
  <si>
    <t>hankaku_eisu_lenjust</t>
    <phoneticPr fontId="1"/>
  </si>
  <si>
    <t>hankaku_eisu_lenrange</t>
    <phoneticPr fontId="1"/>
  </si>
  <si>
    <t>半角英数字</t>
    <rPh sb="0" eb="4">
      <t>ハンカクエイスウ</t>
    </rPh>
    <rPh sb="4" eb="5">
      <t>ジ</t>
    </rPh>
    <phoneticPr fontId="1"/>
  </si>
  <si>
    <t>全角文字列</t>
    <rPh sb="0" eb="5">
      <t>ゼンカクモジレツ</t>
    </rPh>
    <phoneticPr fontId="1"/>
  </si>
  <si>
    <t>True</t>
  </si>
  <si>
    <t>re</t>
    <phoneticPr fontId="1"/>
  </si>
  <si>
    <t>半角英数字</t>
    <rPh sb="0" eb="2">
      <t>ハンカク</t>
    </rPh>
    <rPh sb="2" eb="5">
      <t>エイスウジ</t>
    </rPh>
    <phoneticPr fontId="1"/>
  </si>
  <si>
    <t>rematch</t>
  </si>
  <si>
    <t>date</t>
  </si>
  <si>
    <t>日付型</t>
    <rPh sb="0" eb="2">
      <t>ヒヅケ</t>
    </rPh>
    <rPh sb="2" eb="3">
      <t>カタ</t>
    </rPh>
    <phoneticPr fontId="1"/>
  </si>
  <si>
    <t>date_nover</t>
  </si>
  <si>
    <t>username_noedit</t>
  </si>
  <si>
    <t>ユーザー名自動入力</t>
    <rPh sb="4" eb="5">
      <t>メイ</t>
    </rPh>
    <rPh sb="5" eb="9">
      <t>ジドウニュウリョク</t>
    </rPh>
    <phoneticPr fontId="1"/>
  </si>
  <si>
    <t>hankaku_int_lenjust</t>
  </si>
  <si>
    <t>hankaku-eisu-kuromaru_lenjust</t>
    <phoneticPr fontId="1"/>
  </si>
  <si>
    <t>hankaku-eisu-kuromaru</t>
    <phoneticPr fontId="1"/>
  </si>
  <si>
    <t>hankaku-eisu-kuromaru_lenrange</t>
    <phoneticPr fontId="1"/>
  </si>
  <si>
    <t>掲載号</t>
    <rPh sb="0" eb="3">
      <t>ケイサイゴウ</t>
    </rPh>
    <phoneticPr fontId="1"/>
  </si>
  <si>
    <t>カナ氏名</t>
    <rPh sb="2" eb="4">
      <t>シメイ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</si>
  <si>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</si>
  <si>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2"/>
  </si>
  <si>
    <t>学校欄</t>
    <rPh sb="0" eb="3">
      <t>ガッコウラン</t>
    </rPh>
    <phoneticPr fontId="2"/>
  </si>
  <si>
    <t>学年</t>
    <rPh sb="0" eb="2">
      <t>ガクネン</t>
    </rPh>
    <phoneticPr fontId="1"/>
  </si>
  <si>
    <t>職業</t>
    <rPh sb="0" eb="2">
      <t>ショクギョウ</t>
    </rPh>
    <phoneticPr fontId="1"/>
  </si>
  <si>
    <t>参加人数</t>
    <rPh sb="0" eb="4">
      <t>サンカニンズウ</t>
    </rPh>
    <phoneticPr fontId="1"/>
  </si>
  <si>
    <t>当選確率アップ券</t>
    <rPh sb="0" eb="4">
      <t>トウセンカクリツ</t>
    </rPh>
    <rPh sb="7" eb="8">
      <t>ケン</t>
    </rPh>
    <phoneticPr fontId="1"/>
  </si>
  <si>
    <t>city-town</t>
  </si>
  <si>
    <t>null</t>
    <phoneticPr fontId="1"/>
  </si>
  <si>
    <t>data_type</t>
  </si>
  <si>
    <t>line_edit_obj</t>
  </si>
  <si>
    <t>ime_mode</t>
  </si>
  <si>
    <t>pn_auto_input</t>
  </si>
  <si>
    <t>label_obj</t>
  </si>
  <si>
    <t>frame_a_obj</t>
  </si>
  <si>
    <t>frame_a_name</t>
  </si>
  <si>
    <t>frame_b_obj</t>
  </si>
  <si>
    <t>frame_b_name</t>
  </si>
  <si>
    <t>layout_a_name</t>
  </si>
  <si>
    <t>layout_a_obj</t>
  </si>
  <si>
    <t>layout_b_name</t>
  </si>
  <si>
    <t>layout_b_obj</t>
  </si>
  <si>
    <t>info</t>
  </si>
  <si>
    <t>is_rept</t>
  </si>
  <si>
    <t>is_show</t>
  </si>
  <si>
    <t>list_item</t>
  </si>
  <si>
    <t>name</t>
  </si>
  <si>
    <t>replace_keys</t>
  </si>
  <si>
    <t>replace_values</t>
  </si>
  <si>
    <t>is_b_line_show</t>
  </si>
  <si>
    <t>length</t>
  </si>
  <si>
    <t>min_max</t>
  </si>
  <si>
    <t>re</t>
  </si>
  <si>
    <t>会社名:</t>
  </si>
  <si>
    <t>str</t>
  </si>
  <si>
    <t>label_0_</t>
  </si>
  <si>
    <t>lineEdit_0_</t>
  </si>
  <si>
    <t>jp</t>
  </si>
  <si>
    <t>null</t>
  </si>
  <si>
    <t>frame_0_</t>
  </si>
  <si>
    <t>frame__0__</t>
  </si>
  <si>
    <t>horizontalLayout_0_</t>
  </si>
  <si>
    <t>horizontalLayout__0__</t>
  </si>
  <si>
    <t>会社名：自由入力、必須項目</t>
    <rPh sb="0" eb="3">
      <t>カイシャメイ</t>
    </rPh>
    <rPh sb="4" eb="8">
      <t>ジユウニュウリョク</t>
    </rPh>
    <rPh sb="9" eb="11">
      <t>ヒッス</t>
    </rPh>
    <rPh sb="11" eb="13">
      <t>コウモク</t>
    </rPh>
    <phoneticPr fontId="1"/>
  </si>
  <si>
    <t>False</t>
  </si>
  <si>
    <t>会社名</t>
  </si>
  <si>
    <t>部署・役職:</t>
  </si>
  <si>
    <t>label_1_</t>
  </si>
  <si>
    <t>lineEdit_1_</t>
  </si>
  <si>
    <t>frame__1__</t>
  </si>
  <si>
    <t>horizontalLayout__1__</t>
  </si>
  <si>
    <t>部署・役職：自由入力</t>
    <rPh sb="0" eb="2">
      <t>ブショ</t>
    </rPh>
    <rPh sb="3" eb="5">
      <t>ヤクショク</t>
    </rPh>
    <rPh sb="6" eb="10">
      <t>ジユウニュウリョク</t>
    </rPh>
    <phoneticPr fontId="1"/>
  </si>
  <si>
    <t>部署・役職</t>
  </si>
  <si>
    <t>氏名:</t>
  </si>
  <si>
    <t>str_replace</t>
  </si>
  <si>
    <t>label_2_</t>
  </si>
  <si>
    <t>lineEdit_2_</t>
  </si>
  <si>
    <t>frame__2__</t>
  </si>
  <si>
    <t>horizontalLayout__2__</t>
  </si>
  <si>
    <t>氏名：苗字と名前の間のスペースは無し</t>
    <rPh sb="0" eb="2">
      <t>シメイ</t>
    </rPh>
    <rPh sb="3" eb="5">
      <t>ミョウジ</t>
    </rPh>
    <rPh sb="6" eb="8">
      <t>ナマエ</t>
    </rPh>
    <rPh sb="9" eb="10">
      <t>アイダ</t>
    </rPh>
    <rPh sb="16" eb="17">
      <t>ナシ</t>
    </rPh>
    <phoneticPr fontId="1"/>
  </si>
  <si>
    <t>氏名</t>
  </si>
  <si>
    <t>['1', '2']</t>
  </si>
  <si>
    <t>['一太郎', '二次郎']</t>
    <rPh sb="2" eb="5">
      <t>イチタロウ</t>
    </rPh>
    <rPh sb="9" eb="10">
      <t>ニ</t>
    </rPh>
    <rPh sb="10" eb="12">
      <t>ジロウ</t>
    </rPh>
    <phoneticPr fontId="1"/>
  </si>
  <si>
    <t>〒:</t>
  </si>
  <si>
    <t>postnum</t>
  </si>
  <si>
    <t>label_3_</t>
  </si>
  <si>
    <t>lineEdit_3_</t>
  </si>
  <si>
    <t>en</t>
  </si>
  <si>
    <t>frame_1_</t>
  </si>
  <si>
    <t>frame__3__</t>
  </si>
  <si>
    <t>horizontalLayout_1_</t>
  </si>
  <si>
    <t>horizontalLayout__3__</t>
  </si>
  <si>
    <t>郵便番号：000-0000</t>
    <rPh sb="0" eb="4">
      <t>ユウビンバンゴウ</t>
    </rPh>
    <phoneticPr fontId="1"/>
  </si>
  <si>
    <t>〒</t>
  </si>
  <si>
    <t>都道府県:</t>
  </si>
  <si>
    <t>label_4_</t>
  </si>
  <si>
    <t>lineEdit_4_</t>
  </si>
  <si>
    <t>pref</t>
  </si>
  <si>
    <t>frame__4__</t>
  </si>
  <si>
    <t>horizontalLayout__4__</t>
  </si>
  <si>
    <t>都道府県：郵便番号から自動入力</t>
    <rPh sb="0" eb="4">
      <t>トドウフケン</t>
    </rPh>
    <rPh sb="5" eb="9">
      <t>ユウビンバンゴウ</t>
    </rPh>
    <rPh sb="11" eb="15">
      <t>ジドウニュウリョク</t>
    </rPh>
    <phoneticPr fontId="1"/>
  </si>
  <si>
    <t>都道府県</t>
  </si>
  <si>
    <t>市区町村:</t>
  </si>
  <si>
    <t>label_5_</t>
  </si>
  <si>
    <t>lineEdit_5_</t>
  </si>
  <si>
    <t>city</t>
  </si>
  <si>
    <t>frame__5__</t>
  </si>
  <si>
    <t>horizontalLayout__5__</t>
  </si>
  <si>
    <t>市区町村：郵便番号から自動入力</t>
    <rPh sb="0" eb="4">
      <t>シクチョウソン</t>
    </rPh>
    <rPh sb="5" eb="9">
      <t>ユウビンバンゴウ</t>
    </rPh>
    <rPh sb="11" eb="15">
      <t>ジドウニュウリョク</t>
    </rPh>
    <phoneticPr fontId="1"/>
  </si>
  <si>
    <t>市区町村</t>
  </si>
  <si>
    <t>番地(全角):</t>
    <rPh sb="3" eb="5">
      <t>ゼンカク</t>
    </rPh>
    <phoneticPr fontId="1"/>
  </si>
  <si>
    <t>label_6_</t>
  </si>
  <si>
    <t>lineEdit_6_</t>
  </si>
  <si>
    <t>town</t>
  </si>
  <si>
    <t>zen</t>
  </si>
  <si>
    <t>frame_2_</t>
  </si>
  <si>
    <t>frame__6__</t>
  </si>
  <si>
    <t>horizontalLayout_2_</t>
  </si>
  <si>
    <t>horizontalLayout__6__</t>
  </si>
  <si>
    <t>番地：市区町村：郵便番号から自動入力、半角文字は全角文字に自動変換される</t>
    <rPh sb="0" eb="2">
      <t>バンチ</t>
    </rPh>
    <rPh sb="19" eb="21">
      <t>ハンカク</t>
    </rPh>
    <rPh sb="21" eb="23">
      <t>モジ</t>
    </rPh>
    <rPh sb="24" eb="28">
      <t>ゼンカクモジ</t>
    </rPh>
    <rPh sb="29" eb="31">
      <t>ジドウ</t>
    </rPh>
    <rPh sb="31" eb="33">
      <t>ヘンカン</t>
    </rPh>
    <phoneticPr fontId="1"/>
  </si>
  <si>
    <t>番地(全角)</t>
  </si>
  <si>
    <t>建物名(全角):</t>
  </si>
  <si>
    <t>label_7_</t>
  </si>
  <si>
    <t>lineEdit_7_</t>
  </si>
  <si>
    <t>frame__7__</t>
  </si>
  <si>
    <t>horizontalLayout__7__</t>
  </si>
  <si>
    <t>建物名：半角文字は全角文字に自動変換される</t>
    <rPh sb="0" eb="3">
      <t>タテモノメイ</t>
    </rPh>
    <rPh sb="4" eb="8">
      <t>ハンカクモジ</t>
    </rPh>
    <rPh sb="9" eb="13">
      <t>ゼンカクモジ</t>
    </rPh>
    <rPh sb="14" eb="18">
      <t>ジドウヘンカン</t>
    </rPh>
    <phoneticPr fontId="1"/>
  </si>
  <si>
    <t>建物名(全角)</t>
  </si>
  <si>
    <t>電話番号:</t>
  </si>
  <si>
    <t>telnum</t>
  </si>
  <si>
    <t>label_8_</t>
  </si>
  <si>
    <t>lineEdit_8_</t>
  </si>
  <si>
    <t>frame__8__</t>
  </si>
  <si>
    <t>horizontalLayout__8__</t>
  </si>
  <si>
    <t>電話番号：半角ハイフンを使用</t>
    <rPh sb="0" eb="4">
      <t>デンワバンゴウ</t>
    </rPh>
    <rPh sb="5" eb="7">
      <t>ハンカク</t>
    </rPh>
    <rPh sb="12" eb="14">
      <t>シヨウ</t>
    </rPh>
    <phoneticPr fontId="1"/>
  </si>
  <si>
    <t>電話番号</t>
  </si>
  <si>
    <t>誕生日:</t>
    <rPh sb="0" eb="3">
      <t>タンジョウビ</t>
    </rPh>
    <phoneticPr fontId="1"/>
  </si>
  <si>
    <t>label_9_</t>
  </si>
  <si>
    <t>lineEdit_9_</t>
  </si>
  <si>
    <t>frame_3_</t>
  </si>
  <si>
    <t>frame__9__</t>
  </si>
  <si>
    <t>horizontalLayout_3_</t>
  </si>
  <si>
    <t>horizontalLayout__9__</t>
  </si>
  <si>
    <t>誕生日；[yyyy/m/d]または[yyyy-m-d]</t>
    <rPh sb="0" eb="3">
      <t>タンジョウビ</t>
    </rPh>
    <phoneticPr fontId="1"/>
  </si>
  <si>
    <t>誕生日</t>
  </si>
  <si>
    <t>年齢:</t>
    <rPh sb="0" eb="2">
      <t>ネンレイ</t>
    </rPh>
    <phoneticPr fontId="1"/>
  </si>
  <si>
    <t>label_10_</t>
  </si>
  <si>
    <t>lineEdit_10_</t>
  </si>
  <si>
    <t>han</t>
  </si>
  <si>
    <t>frame__10__</t>
  </si>
  <si>
    <t>horizontalLayout__10__</t>
  </si>
  <si>
    <t>年齢：必須項目、整数、全角文字は半角文字に自動変換される</t>
    <rPh sb="0" eb="2">
      <t>ネンレイ</t>
    </rPh>
    <rPh sb="3" eb="7">
      <t>ヒッスコウモク</t>
    </rPh>
    <rPh sb="8" eb="10">
      <t>セイスウ</t>
    </rPh>
    <phoneticPr fontId="1"/>
  </si>
  <si>
    <t>年齢</t>
  </si>
  <si>
    <t>コード(半角小数点):</t>
    <rPh sb="4" eb="6">
      <t>ハンカク</t>
    </rPh>
    <rPh sb="6" eb="9">
      <t>ショウスウテン</t>
    </rPh>
    <phoneticPr fontId="1"/>
  </si>
  <si>
    <t>float_hankaku</t>
  </si>
  <si>
    <t>label_11_</t>
  </si>
  <si>
    <t>lineEdit_11_</t>
  </si>
  <si>
    <t>frame__11__</t>
  </si>
  <si>
    <t>horizontalLayout__11__</t>
  </si>
  <si>
    <t>コード：数値(小数点)、全角文字は半角文字に自動変換される</t>
    <rPh sb="4" eb="6">
      <t>スウチ</t>
    </rPh>
    <rPh sb="7" eb="10">
      <t>ショウスウテン</t>
    </rPh>
    <rPh sb="12" eb="16">
      <t>ゼンカクモジ</t>
    </rPh>
    <rPh sb="17" eb="21">
      <t>ハンカクモジ</t>
    </rPh>
    <rPh sb="22" eb="26">
      <t>ジドウヘンカン</t>
    </rPh>
    <phoneticPr fontId="1"/>
  </si>
  <si>
    <t>コード(半角小数点)</t>
  </si>
  <si>
    <t>性別▼:</t>
    <rPh sb="0" eb="2">
      <t>セイベツ</t>
    </rPh>
    <phoneticPr fontId="1"/>
  </si>
  <si>
    <t>listonly</t>
  </si>
  <si>
    <t>label_12_</t>
  </si>
  <si>
    <t>lineEdit_12_</t>
  </si>
  <si>
    <t>frame_4_</t>
  </si>
  <si>
    <t>frame__12__</t>
  </si>
  <si>
    <t>horizontalLayout_4_</t>
  </si>
  <si>
    <t>horizontalLayout__12__</t>
  </si>
  <si>
    <t>性別：必須項目、ドロップダウンリスト</t>
    <rPh sb="0" eb="2">
      <t>セイベツ</t>
    </rPh>
    <rPh sb="3" eb="5">
      <t>ヒッス</t>
    </rPh>
    <rPh sb="5" eb="7">
      <t>コウモク</t>
    </rPh>
    <phoneticPr fontId="1"/>
  </si>
  <si>
    <t>['男性','女性','その他']</t>
    <rPh sb="2" eb="4">
      <t>ダンセイ</t>
    </rPh>
    <rPh sb="7" eb="9">
      <t>ジョセイ</t>
    </rPh>
    <rPh sb="14" eb="15">
      <t>タ</t>
    </rPh>
    <phoneticPr fontId="1"/>
  </si>
  <si>
    <t>性別</t>
    <rPh sb="0" eb="2">
      <t>セイベツ</t>
    </rPh>
    <phoneticPr fontId="1"/>
  </si>
  <si>
    <t>業種▽:</t>
    <rPh sb="0" eb="2">
      <t>ギョウシュ</t>
    </rPh>
    <phoneticPr fontId="1"/>
  </si>
  <si>
    <t>list</t>
  </si>
  <si>
    <t>label_13_</t>
  </si>
  <si>
    <t>lineEdit_13_</t>
  </si>
  <si>
    <t>frame__13__</t>
  </si>
  <si>
    <t>horizontalLayout__13__</t>
  </si>
  <si>
    <t>業種：ドロップダウンリスト</t>
    <rPh sb="0" eb="2">
      <t>ギョウシュ</t>
    </rPh>
    <phoneticPr fontId="1"/>
  </si>
  <si>
    <t>['製造業','サービス業','金融','IT']</t>
    <rPh sb="2" eb="5">
      <t>セイゾウギョウ</t>
    </rPh>
    <rPh sb="12" eb="13">
      <t>ギョウ</t>
    </rPh>
    <rPh sb="16" eb="18">
      <t>キンユウ</t>
    </rPh>
    <phoneticPr fontId="1"/>
  </si>
  <si>
    <t>業種</t>
    <rPh sb="0" eb="2">
      <t>ギョウシュ</t>
    </rPh>
    <phoneticPr fontId="1"/>
  </si>
  <si>
    <t>hankaku-kuromaru</t>
  </si>
  <si>
    <t>hankaku-eisu-kuromaru</t>
  </si>
  <si>
    <t>HasQuote</t>
    <phoneticPr fontId="1"/>
  </si>
  <si>
    <t>ここを設定</t>
    <rPh sb="3" eb="5">
      <t>セッテイ</t>
    </rPh>
    <phoneticPr fontId="1"/>
  </si>
  <si>
    <t>半角</t>
    <rPh sb="0" eb="2">
      <t>ハンカク</t>
    </rPh>
    <phoneticPr fontId="1"/>
  </si>
  <si>
    <t>['小学', '中学', '高校', '大学']</t>
    <rPh sb="2" eb="4">
      <t>ショウガク</t>
    </rPh>
    <rPh sb="8" eb="10">
      <t>チュウガク</t>
    </rPh>
    <rPh sb="14" eb="16">
      <t>コウコウ</t>
    </rPh>
    <rPh sb="20" eb="22">
      <t>ダイガク</t>
    </rPh>
    <phoneticPr fontId="1"/>
  </si>
  <si>
    <t>zenkaku-katakana-kuromaru</t>
  </si>
  <si>
    <t>全角カタカナ</t>
    <rPh sb="0" eb="2">
      <t>ゼンカク</t>
    </rPh>
    <phoneticPr fontId="1"/>
  </si>
  <si>
    <t>敬称</t>
  </si>
  <si>
    <t>ヤマト管理番号</t>
  </si>
  <si>
    <t>掲載号</t>
  </si>
  <si>
    <t>郵便番号</t>
  </si>
  <si>
    <t>性別</t>
  </si>
  <si>
    <t>学校欄</t>
  </si>
  <si>
    <t>職業</t>
  </si>
  <si>
    <t>入力項目</t>
    <rPh sb="0" eb="2">
      <t>ニュウ</t>
    </rPh>
    <rPh sb="2" eb="4">
      <t>コウモク</t>
    </rPh>
    <phoneticPr fontId="7"/>
  </si>
  <si>
    <t>文字定義</t>
    <rPh sb="0" eb="2">
      <t>モジ</t>
    </rPh>
    <rPh sb="2" eb="4">
      <t>テイギ</t>
    </rPh>
    <phoneticPr fontId="7"/>
  </si>
  <si>
    <t>仕様補足</t>
    <rPh sb="0" eb="2">
      <t>シヨウ</t>
    </rPh>
    <rPh sb="2" eb="4">
      <t>ホソク</t>
    </rPh>
    <phoneticPr fontId="7"/>
  </si>
  <si>
    <t>入力ヒント表示</t>
    <rPh sb="0" eb="2">
      <t>ニュウリョク</t>
    </rPh>
    <rPh sb="5" eb="7">
      <t>ヒョウジ</t>
    </rPh>
    <phoneticPr fontId="7"/>
  </si>
  <si>
    <t>不備</t>
    <rPh sb="0" eb="2">
      <t>フビ</t>
    </rPh>
    <phoneticPr fontId="7"/>
  </si>
  <si>
    <t>半角</t>
    <rPh sb="0" eb="2">
      <t>ハンカク</t>
    </rPh>
    <phoneticPr fontId="7"/>
  </si>
  <si>
    <t>不可視</t>
    <rPh sb="0" eb="3">
      <t>フカシ</t>
    </rPh>
    <phoneticPr fontId="7"/>
  </si>
  <si>
    <t>全角+英数字半角</t>
    <rPh sb="0" eb="2">
      <t>ゼンカク</t>
    </rPh>
    <rPh sb="3" eb="6">
      <t>エイスウジ</t>
    </rPh>
    <rPh sb="6" eb="8">
      <t>ハン</t>
    </rPh>
    <phoneticPr fontId="7"/>
  </si>
  <si>
    <t>ショートカットキーを押して選択
選択パターンは「掲載号」シートの通り</t>
    <rPh sb="10" eb="11">
      <t>オ</t>
    </rPh>
    <rPh sb="13" eb="15">
      <t>センタク</t>
    </rPh>
    <rPh sb="16" eb="18">
      <t>センタク</t>
    </rPh>
    <rPh sb="24" eb="27">
      <t>ケイサイゴウ</t>
    </rPh>
    <rPh sb="32" eb="33">
      <t>トオ</t>
    </rPh>
    <phoneticPr fontId="7"/>
  </si>
  <si>
    <t>F10キーで選択</t>
    <rPh sb="6" eb="8">
      <t>センタク</t>
    </rPh>
    <phoneticPr fontId="7"/>
  </si>
  <si>
    <t>自動でハイフン追加
例）3580011　→　358-0011</t>
    <rPh sb="0" eb="2">
      <t>ジドウ</t>
    </rPh>
    <rPh sb="7" eb="9">
      <t>ツイカ</t>
    </rPh>
    <rPh sb="10" eb="11">
      <t>レイ</t>
    </rPh>
    <phoneticPr fontId="7"/>
  </si>
  <si>
    <t>ハイフン自動追加</t>
    <rPh sb="4" eb="6">
      <t>ジドウ</t>
    </rPh>
    <rPh sb="6" eb="8">
      <t>ツイカ</t>
    </rPh>
    <phoneticPr fontId="7"/>
  </si>
  <si>
    <t>住所①(都道府県)</t>
    <phoneticPr fontId="7"/>
  </si>
  <si>
    <t>全角</t>
    <rPh sb="0" eb="2">
      <t>ゼン</t>
    </rPh>
    <phoneticPr fontId="7"/>
  </si>
  <si>
    <t>郵便番号から自動検索</t>
    <rPh sb="0" eb="4">
      <t>ユウビン</t>
    </rPh>
    <rPh sb="6" eb="8">
      <t>ジドウ</t>
    </rPh>
    <rPh sb="8" eb="10">
      <t>ケンサク</t>
    </rPh>
    <phoneticPr fontId="7"/>
  </si>
  <si>
    <t>住所②（市町村・区）</t>
    <rPh sb="4" eb="7">
      <t>シチョウソン</t>
    </rPh>
    <rPh sb="8" eb="9">
      <t>ク</t>
    </rPh>
    <phoneticPr fontId="9"/>
  </si>
  <si>
    <t>住所③（番地）</t>
    <rPh sb="0" eb="2">
      <t>ジュウショ</t>
    </rPh>
    <rPh sb="4" eb="6">
      <t>バンチ</t>
    </rPh>
    <phoneticPr fontId="9"/>
  </si>
  <si>
    <t>英数半角</t>
    <rPh sb="0" eb="2">
      <t>エイスウ</t>
    </rPh>
    <rPh sb="2" eb="4">
      <t>ハンカク</t>
    </rPh>
    <phoneticPr fontId="7"/>
  </si>
  <si>
    <t>住所④（建物名・部屋番号）</t>
    <rPh sb="0" eb="2">
      <t>ジュウショ</t>
    </rPh>
    <rPh sb="4" eb="6">
      <t>タテモノ</t>
    </rPh>
    <rPh sb="6" eb="7">
      <t>メイ</t>
    </rPh>
    <rPh sb="8" eb="10">
      <t>ヘヤ</t>
    </rPh>
    <rPh sb="10" eb="12">
      <t>バンゴウ</t>
    </rPh>
    <phoneticPr fontId="9"/>
  </si>
  <si>
    <t>カナ氏名（ふりがな）</t>
    <rPh sb="2" eb="4">
      <t>シメイ</t>
    </rPh>
    <phoneticPr fontId="9"/>
  </si>
  <si>
    <t>全角カナ</t>
    <rPh sb="0" eb="2">
      <t>ゼ</t>
    </rPh>
    <phoneticPr fontId="7"/>
  </si>
  <si>
    <t>姓名スペースなし</t>
    <rPh sb="0" eb="2">
      <t>セイメイ</t>
    </rPh>
    <phoneticPr fontId="7"/>
  </si>
  <si>
    <t>氏名</t>
    <rPh sb="0" eb="2">
      <t>シメイ</t>
    </rPh>
    <phoneticPr fontId="9"/>
  </si>
  <si>
    <t>全角</t>
    <phoneticPr fontId="7"/>
  </si>
  <si>
    <t>不可視
「様」固定</t>
    <rPh sb="0" eb="3">
      <t>フカシ</t>
    </rPh>
    <rPh sb="5" eb="6">
      <t>サマ</t>
    </rPh>
    <rPh sb="7" eb="9">
      <t>コテイ</t>
    </rPh>
    <phoneticPr fontId="7"/>
  </si>
  <si>
    <t>ハイフンあり</t>
    <phoneticPr fontId="7"/>
  </si>
  <si>
    <t>小文字は大文字に自動変換
例）m　→　M</t>
    <rPh sb="0" eb="3">
      <t>コモジ</t>
    </rPh>
    <rPh sb="4" eb="7">
      <t>オオモジ</t>
    </rPh>
    <rPh sb="8" eb="10">
      <t>ジドウ</t>
    </rPh>
    <rPh sb="10" eb="12">
      <t>ヘンカン</t>
    </rPh>
    <rPh sb="13" eb="14">
      <t>レイ</t>
    </rPh>
    <phoneticPr fontId="7"/>
  </si>
  <si>
    <t>男＝M　女＝F　その他＝X</t>
    <rPh sb="0" eb="1">
      <t>オトコ</t>
    </rPh>
    <rPh sb="4" eb="5">
      <t>オンナ</t>
    </rPh>
    <rPh sb="10" eb="11">
      <t>タ</t>
    </rPh>
    <phoneticPr fontId="7"/>
  </si>
  <si>
    <t>選択パターンは「学校」シートの通り
※手動入力も可</t>
    <rPh sb="0" eb="2">
      <t>センタク</t>
    </rPh>
    <rPh sb="8" eb="10">
      <t>ガッコウ</t>
    </rPh>
    <rPh sb="15" eb="16">
      <t>トオ</t>
    </rPh>
    <rPh sb="19" eb="21">
      <t>シュドウ</t>
    </rPh>
    <rPh sb="21" eb="23">
      <t>ニュウリョク</t>
    </rPh>
    <rPh sb="24" eb="25">
      <t>カ</t>
    </rPh>
    <phoneticPr fontId="7"/>
  </si>
  <si>
    <t>学年</t>
    <rPh sb="0" eb="2">
      <t>ガクネン</t>
    </rPh>
    <phoneticPr fontId="9"/>
  </si>
  <si>
    <t>会場（1東京／2大阪）</t>
    <rPh sb="4" eb="6">
      <t>トウキョウ</t>
    </rPh>
    <rPh sb="8" eb="10">
      <t>オオサカ</t>
    </rPh>
    <phoneticPr fontId="7"/>
  </si>
  <si>
    <t>不可視
「1」固定</t>
    <rPh sb="0" eb="3">
      <t>フカシ</t>
    </rPh>
    <rPh sb="7" eb="9">
      <t>コテイ</t>
    </rPh>
    <phoneticPr fontId="7"/>
  </si>
  <si>
    <t>参加人数</t>
    <rPh sb="0" eb="2">
      <t>サンカ</t>
    </rPh>
    <rPh sb="2" eb="4">
      <t>ニンズ</t>
    </rPh>
    <phoneticPr fontId="9"/>
  </si>
  <si>
    <t>当選確率アップ券(1・アップ券あり）</t>
    <rPh sb="0" eb="2">
      <t>トウセン</t>
    </rPh>
    <rPh sb="2" eb="4">
      <t>カクリツ</t>
    </rPh>
    <rPh sb="7" eb="8">
      <t>ケン</t>
    </rPh>
    <rPh sb="14" eb="15">
      <t>ケン</t>
    </rPh>
    <phoneticPr fontId="6"/>
  </si>
  <si>
    <t>添付あれば「1」なければ空欄</t>
    <rPh sb="0" eb="2">
      <t>テンプ</t>
    </rPh>
    <rPh sb="12" eb="14">
      <t>クウラン</t>
    </rPh>
    <phoneticPr fontId="7"/>
  </si>
  <si>
    <t>チェック</t>
    <phoneticPr fontId="7"/>
  </si>
  <si>
    <t>「1」を入力しないと進まない</t>
    <rPh sb="4" eb="6">
      <t>ニュウ</t>
    </rPh>
    <rPh sb="10" eb="11">
      <t>スス</t>
    </rPh>
    <phoneticPr fontId="7"/>
  </si>
  <si>
    <t>「1」入力で次へ</t>
    <rPh sb="3" eb="5">
      <t>ニュウ</t>
    </rPh>
    <rPh sb="6" eb="7">
      <t>ツギ</t>
    </rPh>
    <phoneticPr fontId="7"/>
  </si>
  <si>
    <t>画像ファイル名</t>
    <rPh sb="0" eb="2">
      <t>ガゾウ</t>
    </rPh>
    <rPh sb="6" eb="7">
      <t>メイ</t>
    </rPh>
    <phoneticPr fontId="7"/>
  </si>
  <si>
    <t>画像名を記録</t>
    <rPh sb="0" eb="2">
      <t>ガゾウ</t>
    </rPh>
    <rPh sb="2" eb="3">
      <t>メイ</t>
    </rPh>
    <rPh sb="4" eb="6">
      <t>キロク</t>
    </rPh>
    <phoneticPr fontId="7"/>
  </si>
  <si>
    <t>チェック: 「1」を入力しないと進まない</t>
    <rPh sb="10" eb="12">
      <t>ニュウリョク</t>
    </rPh>
    <rPh sb="16" eb="17">
      <t>スス</t>
    </rPh>
    <phoneticPr fontId="1"/>
  </si>
  <si>
    <t>remarks</t>
    <phoneticPr fontId="1"/>
  </si>
  <si>
    <t>住所①(都道府県)</t>
  </si>
  <si>
    <t>=LET(
_maxlentext, IF([@length]="", "", " (桁数:" &amp; SUBSTITUTE(SUBSTITUTE([@length],"[",""),"]","") &amp; ")"),
_result, [@name]&amp;": "&amp;XLOOKUP([@[data_type]],_TypeInfo[type],_TypeInfo[info], "") &amp; _参照テーブル[@[inli_text]] &amp; _maxlentext &amp; _参照テーブル[@[min_max]],
_result
)</t>
    <phoneticPr fontId="1"/>
  </si>
  <si>
    <t>当選確率アップ券: \n添付あれば「1」なければ空欄</t>
    <rPh sb="12" eb="14">
      <t>テンプ</t>
    </rPh>
    <rPh sb="24" eb="26">
      <t>クウラン</t>
    </rPh>
    <phoneticPr fontId="1"/>
  </si>
  <si>
    <t>性別:\n男＝M　女＝F　その他＝X</t>
    <rPh sb="0" eb="2">
      <t>セイベツ</t>
    </rPh>
    <phoneticPr fontId="1"/>
  </si>
  <si>
    <t>住所②(市町村・区)</t>
    <rPh sb="4" eb="7">
      <t>シチョウソン</t>
    </rPh>
    <rPh sb="8" eb="9">
      <t>ク</t>
    </rPh>
    <phoneticPr fontId="1"/>
  </si>
  <si>
    <t>住所③(番地)</t>
    <rPh sb="0" eb="2">
      <t>ジュウショ</t>
    </rPh>
    <rPh sb="4" eb="6">
      <t>バンチ</t>
    </rPh>
    <phoneticPr fontId="1"/>
  </si>
  <si>
    <t>住所④(建物名・部屋番号)</t>
    <rPh sb="0" eb="2">
      <t>ジュウショ</t>
    </rPh>
    <rPh sb="4" eb="6">
      <t>タテモノ</t>
    </rPh>
    <rPh sb="6" eb="7">
      <t>メイ</t>
    </rPh>
    <rPh sb="8" eb="10">
      <t>ヘヤ</t>
    </rPh>
    <rPh sb="10" eb="12">
      <t>バンゴウ</t>
    </rPh>
    <phoneticPr fontId="1"/>
  </si>
  <si>
    <t>会場(1東京／2大阪)</t>
    <rPh sb="4" eb="6">
      <t>トウキョウ</t>
    </rPh>
    <rPh sb="8" eb="10">
      <t>オオサカ</t>
    </rPh>
    <phoneticPr fontId="3"/>
  </si>
  <si>
    <t>郵便番号</t>
    <rPh sb="0" eb="2">
      <t>ユウビン</t>
    </rPh>
    <rPh sb="2" eb="3">
      <t>バン</t>
    </rPh>
    <phoneticPr fontId="1"/>
  </si>
  <si>
    <t>郵便番号: ハイフン自動追加</t>
  </si>
  <si>
    <t>remarks</t>
  </si>
  <si>
    <t>掲載号:</t>
  </si>
  <si>
    <t>listonly-kuromaru</t>
  </si>
  <si>
    <t>掲載号: F10キーで選択</t>
  </si>
  <si>
    <t>['Vジャンプ6月号', 'Vジャンプ7月号', '最強ジャンプ6月号', '最強ジャンプ7月号', '週刊少年ジャンプ21号', '週刊少年ジャンプ22.23号', '週刊少年ジャンプ24号', '週刊少年ジャンプ25号', '週刊少年ジャンプ26号', '週刊少年ジャンプ27号', '週刊少年ジャンプ28号']</t>
  </si>
  <si>
    <t>郵便番号:</t>
  </si>
  <si>
    <t>postauto</t>
  </si>
  <si>
    <t>住所①(都道府県):</t>
  </si>
  <si>
    <t>住所②(市町村・区):</t>
  </si>
  <si>
    <t>住所②(市町村区):</t>
  </si>
  <si>
    <t>住所③(番地):</t>
  </si>
  <si>
    <t>住所③(番地): 英数半角</t>
  </si>
  <si>
    <t>住所④(建物名・部屋番号):</t>
  </si>
  <si>
    <t>住所④(建物名): 英数半角</t>
  </si>
  <si>
    <t>カナ氏名:</t>
  </si>
  <si>
    <t>カナ氏名: 姓名スペースなし</t>
  </si>
  <si>
    <t>氏名: 姓名スペースなし</t>
  </si>
  <si>
    <t>電話番号: ハイフンあり</t>
  </si>
  <si>
    <t>年齢:</t>
  </si>
  <si>
    <t>年齢: 半角英数字</t>
  </si>
  <si>
    <t>性別:</t>
  </si>
  <si>
    <t>upper</t>
  </si>
  <si>
    <t>学校欄:</t>
  </si>
  <si>
    <t>学校欄: F10キーで選択</t>
  </si>
  <si>
    <t>学年:</t>
  </si>
  <si>
    <t>学年: 半角英数字</t>
  </si>
  <si>
    <t>職業:</t>
  </si>
  <si>
    <t xml:space="preserve">職業: </t>
  </si>
  <si>
    <t>会場(1東京／2大阪):</t>
  </si>
  <si>
    <t>label_14_</t>
  </si>
  <si>
    <t>lineEdit_14_</t>
  </si>
  <si>
    <t>frame__14__</t>
  </si>
  <si>
    <t>horizontalLayout__14__</t>
  </si>
  <si>
    <t>会場(1東京／2大阪): 半角英数字</t>
  </si>
  <si>
    <t>参加人数:</t>
  </si>
  <si>
    <t>label_15_</t>
  </si>
  <si>
    <t>lineEdit_15_</t>
  </si>
  <si>
    <t>frame_5_</t>
  </si>
  <si>
    <t>frame__15__</t>
  </si>
  <si>
    <t>horizontalLayout_5_</t>
  </si>
  <si>
    <t>horizontalLayout__15__</t>
  </si>
  <si>
    <t>参加人数: 1～5</t>
  </si>
  <si>
    <t>当選確率アップ券:</t>
  </si>
  <si>
    <t>label_16_</t>
  </si>
  <si>
    <t>lineEdit_16_</t>
  </si>
  <si>
    <t>frame__16__</t>
  </si>
  <si>
    <t>horizontalLayout__16__</t>
  </si>
  <si>
    <t>チェック:</t>
  </si>
  <si>
    <t>ischeck_nover</t>
  </si>
  <si>
    <t>label_17_</t>
  </si>
  <si>
    <t>lineEdit_17_</t>
  </si>
  <si>
    <t>frame__17__</t>
  </si>
  <si>
    <t>horizontalLayout__17__</t>
  </si>
  <si>
    <t>チェック</t>
  </si>
  <si>
    <t>ID</t>
  </si>
  <si>
    <t>登録情報</t>
    <rPh sb="0" eb="4">
      <t>トウロクジョウホウ</t>
    </rPh>
    <phoneticPr fontId="1"/>
  </si>
  <si>
    <t>郵便番号</t>
    <rPh sb="0" eb="4">
      <t>ユウビンバンゴウ</t>
    </rPh>
    <phoneticPr fontId="2"/>
  </si>
  <si>
    <t>都道府県</t>
    <rPh sb="0" eb="4">
      <t>トドウフk</t>
    </rPh>
    <phoneticPr fontId="1"/>
  </si>
  <si>
    <t>市区町村</t>
    <rPh sb="0" eb="4">
      <t>シクチョウ</t>
    </rPh>
    <phoneticPr fontId="1"/>
  </si>
  <si>
    <t>町域番地</t>
    <rPh sb="0" eb="2">
      <t>チョウイキ</t>
    </rPh>
    <rPh sb="2" eb="4">
      <t>バンチ</t>
    </rPh>
    <phoneticPr fontId="1"/>
  </si>
  <si>
    <t>建物</t>
    <rPh sb="0" eb="2">
      <t>タテモノ</t>
    </rPh>
    <phoneticPr fontId="1"/>
  </si>
  <si>
    <t>氏名かな</t>
    <rPh sb="0" eb="2">
      <t>シメイ</t>
    </rPh>
    <phoneticPr fontId="1"/>
  </si>
  <si>
    <t>防災カルタ</t>
    <rPh sb="0" eb="2">
      <t>ボウサイ</t>
    </rPh>
    <phoneticPr fontId="1"/>
  </si>
  <si>
    <t>404:薬剤式トイレ</t>
    <rPh sb="4" eb="7">
      <t>ヤクザイシキ</t>
    </rPh>
    <phoneticPr fontId="2"/>
  </si>
  <si>
    <t>225:備蓄ランタン</t>
    <rPh sb="4" eb="6">
      <t>ビチク</t>
    </rPh>
    <phoneticPr fontId="2"/>
  </si>
  <si>
    <t>512:彩り主食</t>
    <rPh sb="4" eb="5">
      <t>イロド</t>
    </rPh>
    <rPh sb="6" eb="8">
      <t>シュショク</t>
    </rPh>
    <phoneticPr fontId="2"/>
  </si>
  <si>
    <t>項目</t>
    <rPh sb="0" eb="2">
      <t>コウモク</t>
    </rPh>
    <phoneticPr fontId="17"/>
  </si>
  <si>
    <t>入力規則</t>
    <rPh sb="0" eb="2">
      <t>ニュウリョク</t>
    </rPh>
    <rPh sb="2" eb="4">
      <t>キソク</t>
    </rPh>
    <phoneticPr fontId="17"/>
  </si>
  <si>
    <t>仕様備考等</t>
    <rPh sb="0" eb="2">
      <t>シヨウ</t>
    </rPh>
    <rPh sb="2" eb="4">
      <t>ビコウ</t>
    </rPh>
    <rPh sb="4" eb="5">
      <t>トウ</t>
    </rPh>
    <phoneticPr fontId="17"/>
  </si>
  <si>
    <t>入力ヒント（赤字）</t>
    <rPh sb="0" eb="2">
      <t>ニュウリョク</t>
    </rPh>
    <rPh sb="6" eb="8">
      <t>アカジ</t>
    </rPh>
    <phoneticPr fontId="17"/>
  </si>
  <si>
    <t>半角英数</t>
    <rPh sb="0" eb="4">
      <t>ハンカクエイスウ</t>
    </rPh>
    <phoneticPr fontId="17"/>
  </si>
  <si>
    <t>数字10桁</t>
    <rPh sb="0" eb="2">
      <t>スウジ</t>
    </rPh>
    <rPh sb="4" eb="5">
      <t>ケタ</t>
    </rPh>
    <phoneticPr fontId="17"/>
  </si>
  <si>
    <t>登録情報</t>
    <rPh sb="0" eb="4">
      <t>トウロクジョウホウ</t>
    </rPh>
    <phoneticPr fontId="15"/>
  </si>
  <si>
    <t>変更なし=1 変更あり=2</t>
    <rPh sb="0" eb="2">
      <t>ヘンコウ</t>
    </rPh>
    <phoneticPr fontId="17"/>
  </si>
  <si>
    <t>郵便番号</t>
    <rPh sb="0" eb="4">
      <t>ユウビンバンゴウ</t>
    </rPh>
    <phoneticPr fontId="17"/>
  </si>
  <si>
    <t>ハイフンなし7桁</t>
    <rPh sb="7" eb="8">
      <t>ケタ</t>
    </rPh>
    <phoneticPr fontId="17"/>
  </si>
  <si>
    <t>都道府県</t>
    <rPh sb="0" eb="4">
      <t>トドウフk</t>
    </rPh>
    <phoneticPr fontId="15"/>
  </si>
  <si>
    <t>全角</t>
    <rPh sb="0" eb="2">
      <t>ゼンカク</t>
    </rPh>
    <phoneticPr fontId="17"/>
  </si>
  <si>
    <r>
      <rPr>
        <sz val="11"/>
        <color rgb="FFFF0000"/>
        <rFont val="Yu Gothic"/>
        <family val="3"/>
        <charset val="128"/>
        <scheme val="minor"/>
      </rPr>
      <t>郵便番号を入力した場合、自動検索</t>
    </r>
    <r>
      <rPr>
        <sz val="11"/>
        <color theme="1"/>
        <rFont val="Yu Gothic"/>
        <family val="2"/>
        <scheme val="minor"/>
      </rPr>
      <t xml:space="preserve">
</t>
    </r>
    <r>
      <rPr>
        <sz val="11"/>
        <color rgb="FFFF0000"/>
        <rFont val="Yu Gothic"/>
        <family val="3"/>
        <charset val="128"/>
        <scheme val="minor"/>
      </rPr>
      <t>フォーカス移動時、英数記号を半角化</t>
    </r>
    <rPh sb="0" eb="4">
      <t>ユウビンバンゴウ</t>
    </rPh>
    <rPh sb="5" eb="7">
      <t>ニュウリョク</t>
    </rPh>
    <rPh sb="9" eb="11">
      <t>バアイ</t>
    </rPh>
    <rPh sb="12" eb="14">
      <t>ジドウ</t>
    </rPh>
    <rPh sb="14" eb="16">
      <t>ケンサク</t>
    </rPh>
    <rPh sb="22" eb="24">
      <t>イドウ</t>
    </rPh>
    <rPh sb="24" eb="25">
      <t>ジ</t>
    </rPh>
    <rPh sb="26" eb="30">
      <t>エイスウキゴウ</t>
    </rPh>
    <rPh sb="31" eb="33">
      <t>ハンカク</t>
    </rPh>
    <rPh sb="33" eb="34">
      <t>カ</t>
    </rPh>
    <phoneticPr fontId="17"/>
  </si>
  <si>
    <t>市区町村</t>
    <rPh sb="0" eb="4">
      <t>シクチョウ</t>
    </rPh>
    <phoneticPr fontId="15"/>
  </si>
  <si>
    <t>町域番地</t>
    <rPh sb="0" eb="2">
      <t>チョウイキ</t>
    </rPh>
    <rPh sb="2" eb="4">
      <t>バンチ</t>
    </rPh>
    <phoneticPr fontId="15"/>
  </si>
  <si>
    <t>建物</t>
    <rPh sb="0" eb="2">
      <t>タテモノ</t>
    </rPh>
    <phoneticPr fontId="15"/>
  </si>
  <si>
    <t>フォーカス移動時、英数記号を半角化</t>
    <rPh sb="5" eb="7">
      <t>イドウ</t>
    </rPh>
    <rPh sb="7" eb="8">
      <t>ジ</t>
    </rPh>
    <rPh sb="9" eb="13">
      <t>エイスウキゴウ</t>
    </rPh>
    <rPh sb="14" eb="16">
      <t>ハンカク</t>
    </rPh>
    <rPh sb="16" eb="17">
      <t>カ</t>
    </rPh>
    <phoneticPr fontId="17"/>
  </si>
  <si>
    <t>氏名かな</t>
    <rPh sb="0" eb="2">
      <t>シメイ</t>
    </rPh>
    <phoneticPr fontId="15"/>
  </si>
  <si>
    <t>氏名</t>
    <rPh sb="0" eb="2">
      <t>シメイ</t>
    </rPh>
    <phoneticPr fontId="15"/>
  </si>
  <si>
    <t>電話番号</t>
    <rPh sb="0" eb="4">
      <t>デンワバンゴウ</t>
    </rPh>
    <phoneticPr fontId="15"/>
  </si>
  <si>
    <t>数字10桁～11桁</t>
    <rPh sb="0" eb="2">
      <t>スウジ</t>
    </rPh>
    <rPh sb="4" eb="5">
      <t>ケタ</t>
    </rPh>
    <rPh sb="8" eb="9">
      <t>ケタ</t>
    </rPh>
    <phoneticPr fontId="17"/>
  </si>
  <si>
    <t>ハイフンなし</t>
    <phoneticPr fontId="17"/>
  </si>
  <si>
    <t>防災カルタ</t>
    <rPh sb="0" eb="2">
      <t>ボウサイ</t>
    </rPh>
    <phoneticPr fontId="15"/>
  </si>
  <si>
    <t>申し込む=1 不要=2</t>
    <rPh sb="0" eb="1">
      <t>モウ</t>
    </rPh>
    <rPh sb="2" eb="3">
      <t>コ</t>
    </rPh>
    <rPh sb="7" eb="9">
      <t>フヨウ</t>
    </rPh>
    <phoneticPr fontId="17"/>
  </si>
  <si>
    <t>404:薬剤式トイレ</t>
    <rPh sb="4" eb="7">
      <t>ヤクザイシキ</t>
    </rPh>
    <phoneticPr fontId="17"/>
  </si>
  <si>
    <t>225:備蓄ランタン</t>
    <rPh sb="4" eb="6">
      <t>ビチク</t>
    </rPh>
    <phoneticPr fontId="17"/>
  </si>
  <si>
    <t>512:彩り主食</t>
    <rPh sb="4" eb="5">
      <t>イロド</t>
    </rPh>
    <rPh sb="6" eb="8">
      <t>シュショク</t>
    </rPh>
    <phoneticPr fontId="17"/>
  </si>
  <si>
    <t>画像名</t>
    <rPh sb="0" eb="3">
      <t>ガゾウメイ</t>
    </rPh>
    <phoneticPr fontId="17"/>
  </si>
  <si>
    <t>画像名を自動記録（PDF）</t>
    <rPh sb="0" eb="3">
      <t>ガゾウメイ</t>
    </rPh>
    <rPh sb="4" eb="6">
      <t>ジドウ</t>
    </rPh>
    <rPh sb="6" eb="8">
      <t>キロク</t>
    </rPh>
    <phoneticPr fontId="17"/>
  </si>
  <si>
    <t>pref</t>
    <phoneticPr fontId="1"/>
  </si>
  <si>
    <t>postnum</t>
    <phoneticPr fontId="1"/>
  </si>
  <si>
    <t>登録情報: 変更なし=1 変更あり=2</t>
    <phoneticPr fontId="1"/>
  </si>
  <si>
    <t>郵便番号: ハイフンなし7桁</t>
    <phoneticPr fontId="1"/>
  </si>
  <si>
    <t>防災カルタ: 申し込む=1 不要=2</t>
    <phoneticPr fontId="1"/>
  </si>
  <si>
    <t>han-ans</t>
    <phoneticPr fontId="1"/>
  </si>
  <si>
    <t>hankaku-eisu-kuromaru_lenjust</t>
  </si>
  <si>
    <t>[10, 11]</t>
    <phoneticPr fontId="1"/>
  </si>
  <si>
    <t>city</t>
    <phoneticPr fontId="1"/>
  </si>
  <si>
    <t>電話番号: ハイフンなし 桁数:10～11</t>
    <phoneticPr fontId="1"/>
  </si>
  <si>
    <t>horizontalLayout_1_</t>
    <phoneticPr fontId="1"/>
  </si>
  <si>
    <t>hankaku-eisu-kuromaru_lenrange</t>
  </si>
  <si>
    <t>404:薬剤式トイレ: 数量を入力（薬剤式トイレ）</t>
    <phoneticPr fontId="1"/>
  </si>
  <si>
    <t>225:備蓄ランタン: 数量を入力（備蓄ランタン）</t>
    <phoneticPr fontId="1"/>
  </si>
  <si>
    <t>512:彩り主食: 数量を入力（彩り主食）</t>
    <phoneticPr fontId="1"/>
  </si>
  <si>
    <t>411&amp;415:全身きれい</t>
    <rPh sb="8" eb="10">
      <t>ゼンシン</t>
    </rPh>
    <phoneticPr fontId="2"/>
  </si>
  <si>
    <t>411&amp;415:全身きれい: 数量を入力（全身きれい・歯みがき）</t>
    <phoneticPr fontId="1"/>
  </si>
  <si>
    <t>氏名: スペースあり</t>
    <phoneticPr fontId="1"/>
  </si>
  <si>
    <t>氏名かな: ひらがな スペースあり</t>
    <phoneticPr fontId="1"/>
  </si>
  <si>
    <t>入力仕様から</t>
    <rPh sb="0" eb="2">
      <t>ニュウリョク</t>
    </rPh>
    <rPh sb="2" eb="4">
      <t>シヨウ</t>
    </rPh>
    <phoneticPr fontId="1"/>
  </si>
  <si>
    <t>ID: 数字10桁</t>
    <rPh sb="4" eb="6">
      <t>スウジ</t>
    </rPh>
    <rPh sb="8" eb="9">
      <t>ケタ</t>
    </rPh>
    <phoneticPr fontId="1"/>
  </si>
  <si>
    <t>ひらがな　スペースあり</t>
    <phoneticPr fontId="17"/>
  </si>
  <si>
    <t>2025/5/12修正</t>
    <rPh sb="9" eb="11">
      <t>シュウセイ</t>
    </rPh>
    <phoneticPr fontId="17"/>
  </si>
  <si>
    <t>スペースあり</t>
    <phoneticPr fontId="17"/>
  </si>
  <si>
    <t>数量を入力（薬剤式トイレ）</t>
    <rPh sb="0" eb="2">
      <t>スウリョウ</t>
    </rPh>
    <rPh sb="3" eb="5">
      <t>ニュウリョク</t>
    </rPh>
    <rPh sb="6" eb="9">
      <t>ヤクザイシキ</t>
    </rPh>
    <phoneticPr fontId="17"/>
  </si>
  <si>
    <t>数量を入力（備蓄ランタン）</t>
    <rPh sb="0" eb="2">
      <t>スウリョウ</t>
    </rPh>
    <rPh sb="3" eb="5">
      <t>ニュウリョク</t>
    </rPh>
    <rPh sb="6" eb="8">
      <t>ビチク</t>
    </rPh>
    <phoneticPr fontId="17"/>
  </si>
  <si>
    <t>数量を入力（彩り主食）</t>
    <rPh sb="0" eb="2">
      <t>スウリョウ</t>
    </rPh>
    <rPh sb="3" eb="5">
      <t>ニュウリョク</t>
    </rPh>
    <rPh sb="6" eb="7">
      <t>イロド</t>
    </rPh>
    <rPh sb="8" eb="10">
      <t>シュショク</t>
    </rPh>
    <phoneticPr fontId="17"/>
  </si>
  <si>
    <t>411&amp;415:全身きれい</t>
    <rPh sb="8" eb="10">
      <t>ゼンシン</t>
    </rPh>
    <phoneticPr fontId="17"/>
  </si>
  <si>
    <t>数量を入力（全身きれい・歯みがき）</t>
    <rPh sb="0" eb="2">
      <t>スウリョウ</t>
    </rPh>
    <rPh sb="3" eb="5">
      <t>ニュウリョク</t>
    </rPh>
    <rPh sb="6" eb="8">
      <t>ゼンシン</t>
    </rPh>
    <rPh sb="12" eb="13">
      <t>ハ</t>
    </rPh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</si>
</sst>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10.5"/>
      <name val="ＭＳ 明朝"/>
      <family val="1"/>
      <charset val="128"/>
    </font>
    <font>
      <sz val="10.1"/>
      <name val="標準ゴシック"/>
      <family val="3"/>
      <charset val="128"/>
    </font>
    <font>
      <b/>
      <sz val="9"/>
      <color indexed="81"/>
      <name val="MS P ゴシック"/>
      <family val="3"/>
      <charset val="128"/>
    </font>
    <font>
      <sz val="18"/>
      <color theme="3"/>
      <name val="Yu Gothic Light"/>
      <family val="2"/>
      <charset val="128"/>
      <scheme val="major"/>
    </font>
    <font>
      <sz val="6"/>
      <name val="Meiryo UI"/>
      <family val="2"/>
      <charset val="128"/>
    </font>
    <font>
      <sz val="10"/>
      <color rgb="FFFF0000"/>
      <name val="Meiryo UI"/>
      <family val="3"/>
      <charset val="128"/>
    </font>
    <font>
      <sz val="10"/>
      <color theme="1"/>
      <name val="Meiryo UI"/>
      <family val="2"/>
      <charset val="128"/>
    </font>
    <font>
      <sz val="10"/>
      <color rgb="FFFF0000"/>
      <name val="Meiryo UI"/>
      <family val="2"/>
      <charset val="128"/>
    </font>
    <font>
      <sz val="11"/>
      <color theme="1"/>
      <name val="Myrica M"/>
      <family val="3"/>
      <charset val="128"/>
    </font>
    <font>
      <sz val="11"/>
      <color theme="1"/>
      <name val="Myrica N"/>
      <family val="3"/>
      <charset val="128"/>
    </font>
    <font>
      <b/>
      <sz val="11"/>
      <color rgb="FFFF0000"/>
      <name val="Myrica N"/>
      <family val="3"/>
      <charset val="128"/>
    </font>
    <font>
      <sz val="10"/>
      <color theme="1"/>
      <name val="Myrica M"/>
      <family val="3"/>
      <charset val="128"/>
    </font>
    <font>
      <sz val="11"/>
      <color theme="1"/>
      <name val="Yu Gothic"/>
      <family val="2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rgb="FFFF0000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38" fontId="4" fillId="0" borderId="0" applyFont="0" applyFill="0" applyBorder="0" applyAlignment="0" applyProtection="0">
      <alignment vertical="center"/>
    </xf>
    <xf numFmtId="0" fontId="15" fillId="0" borderId="0">
      <alignment vertical="center"/>
    </xf>
  </cellStyleXfs>
  <cellXfs count="38">
    <xf numFmtId="0" fontId="0" fillId="0" borderId="0" xfId="0"/>
    <xf numFmtId="0" fontId="0" fillId="2" borderId="1" xfId="0" applyFill="1" applyBorder="1"/>
    <xf numFmtId="0" fontId="2" fillId="0" borderId="0" xfId="0" applyFont="1"/>
    <xf numFmtId="0" fontId="0" fillId="4" borderId="0" xfId="0" applyFill="1"/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quotePrefix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2" fillId="0" borderId="8" xfId="0" quotePrefix="1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1" fillId="2" borderId="1" xfId="0" applyFont="1" applyFill="1" applyBorder="1"/>
    <xf numFmtId="0" fontId="11" fillId="0" borderId="0" xfId="0" applyFont="1"/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0" fontId="16" fillId="4" borderId="1" xfId="3" applyFont="1" applyFill="1" applyBorder="1">
      <alignment vertical="center"/>
    </xf>
    <xf numFmtId="0" fontId="15" fillId="0" borderId="0" xfId="3">
      <alignment vertical="center"/>
    </xf>
    <xf numFmtId="0" fontId="15" fillId="0" borderId="1" xfId="3" applyBorder="1">
      <alignment vertical="center"/>
    </xf>
    <xf numFmtId="0" fontId="18" fillId="0" borderId="1" xfId="3" applyFont="1" applyBorder="1">
      <alignment vertical="center"/>
    </xf>
    <xf numFmtId="0" fontId="19" fillId="0" borderId="1" xfId="3" applyFont="1" applyBorder="1" applyAlignment="1">
      <alignment vertical="center" wrapText="1"/>
    </xf>
    <xf numFmtId="0" fontId="20" fillId="0" borderId="1" xfId="3" applyFont="1" applyBorder="1" applyAlignment="1">
      <alignment vertical="center" wrapText="1"/>
    </xf>
    <xf numFmtId="0" fontId="20" fillId="0" borderId="1" xfId="3" applyFont="1" applyBorder="1">
      <alignment vertical="center"/>
    </xf>
    <xf numFmtId="0" fontId="21" fillId="0" borderId="1" xfId="3" applyFont="1" applyBorder="1">
      <alignment vertical="center"/>
    </xf>
    <xf numFmtId="0" fontId="15" fillId="0" borderId="10" xfId="3" applyBorder="1">
      <alignment vertical="center"/>
    </xf>
    <xf numFmtId="0" fontId="18" fillId="0" borderId="11" xfId="3" applyFont="1" applyBorder="1">
      <alignment vertical="center"/>
    </xf>
  </cellXfs>
  <cellStyles count="4">
    <cellStyle name="桁区切り 2" xfId="2" xr:uid="{28881281-F259-43A0-96E4-DF73CD70D5E0}"/>
    <cellStyle name="標準" xfId="0" builtinId="0"/>
    <cellStyle name="標準 2" xfId="1" xr:uid="{068EE66A-05FB-4126-A624-A36C87C07F3C}"/>
    <cellStyle name="標準 3" xfId="3" xr:uid="{959B40E2-6947-48CA-A7D3-91FA87F43407}"/>
  </cellStyles>
  <dxfs count="54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IZ UDゴシック"/>
        <family val="3"/>
        <charset val="128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Myrica N"/>
        <family val="3"/>
        <charset val="128"/>
        <scheme val="none"/>
      </font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Myrica M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Light14" defaultPivotStyle="PivotStyleMedium14"/>
  <extLst>
    <ext xmlns:x14="http://schemas.microsoft.com/office/spreadsheetml/2009/9/main" uri="{EB79DEF2-80B8-43e5-95BD-54CBDDF9020C}">
      <x14:slicerStyles defaultSlicerStyle="SlicerStyleLight6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417443</xdr:colOff>
      <xdr:row>1</xdr:row>
      <xdr:rowOff>165652</xdr:rowOff>
    </xdr:from>
    <xdr:to>
      <xdr:col>35</xdr:col>
      <xdr:colOff>1046922</xdr:colOff>
      <xdr:row>9</xdr:row>
      <xdr:rowOff>53009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7D5D544-2A53-F6ED-FF8F-C52FF12A57BC}"/>
            </a:ext>
          </a:extLst>
        </xdr:cNvPr>
        <xdr:cNvSpPr txBox="1"/>
      </xdr:nvSpPr>
      <xdr:spPr>
        <a:xfrm>
          <a:off x="33985200" y="530087"/>
          <a:ext cx="3339548" cy="23655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text_conversion:</a:t>
          </a: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カタカナにする場合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zen-katakana</a:t>
          </a:r>
          <a:r>
            <a:rPr lang="en-US" altLang="ja-JP"/>
            <a:t> </a:t>
          </a:r>
          <a:endParaRPr kumimoji="1" lang="ja-JP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1D881-41AC-4717-A1FC-D30094E29E79}" name="変換前のテーブル" displayName="変換前のテーブル" ref="A1:AE16" totalsRowShown="0" headerRowDxfId="53" dataDxfId="51" headerRowBorderDxfId="52" tableBorderDxfId="50" totalsRowBorderDxfId="49">
  <tableColumns count="31">
    <tableColumn id="1" xr3:uid="{F0651E53-CCEF-4924-B50C-35CD62277309}" name="index" dataDxfId="48">
      <calculatedColumnFormula>ROW()-2</calculatedColumnFormula>
    </tableColumn>
    <tableColumn id="2" xr3:uid="{C91C4EC7-628D-48A7-85C3-B3ACED2EFDB0}" name="display_name" dataDxfId="47">
      <calculatedColumnFormula>SUBSTITUTE(変換前のテーブル[[#This Row],[name]],"：",":")&amp;":"</calculatedColumnFormula>
    </tableColumn>
    <tableColumn id="7" xr3:uid="{D14D59A6-2D9C-4DF5-9BB9-C1BF816776A2}" name="data_type" dataDxfId="46"/>
    <tableColumn id="3" xr3:uid="{C02DBA38-0B18-47E3-99A1-E09E5BE6CF07}" name="label_name" dataDxfId="45">
      <calculatedColumnFormula>"label_"&amp;変換前のテーブル[[#This Row],[index]]&amp;"_"</calculatedColumnFormula>
    </tableColumn>
    <tableColumn id="4" xr3:uid="{66E35540-24BF-468D-A037-6612D3D73483}" name="line_edit_name" dataDxfId="44">
      <calculatedColumnFormula>"lineEdit_"&amp;変換前のテーブル[[#This Row],[index]]&amp;"_"</calculatedColumnFormula>
    </tableColumn>
    <tableColumn id="5" xr3:uid="{904FAF28-9B65-469B-8D6B-896B1E95707F}" name="is_last" dataDxfId="43">
      <calculatedColumnFormula array="1">_xlfn.IFS(ROW()-1=1,-1,ROW()-1=ROWS(変換前のテーブル[index]),1,TRUE,0)</calculatedColumnFormula>
    </tableColumn>
    <tableColumn id="6" xr3:uid="{21A5DDB5-92F9-4032-8502-3D679F5CF472}" name="line_edit_obj" dataDxfId="42"/>
    <tableColumn id="8" xr3:uid="{A86C8AA5-8C7B-41D3-A3BD-FB34D9A31FA1}" name="ime_mode" dataDxfId="41"/>
    <tableColumn id="9" xr3:uid="{E65E80E9-CA87-4446-91A6-C7CC912ECC5D}" name="pn_auto_input" dataDxfId="40"/>
    <tableColumn id="11" xr3:uid="{9E7C83DA-A2BE-4115-9B9C-D927015B7333}" name="text_conversion" dataDxfId="39"/>
    <tableColumn id="12" xr3:uid="{E4153C09-D0E6-410E-B95D-66D8875EFA60}" name="label_obj" dataDxfId="38"/>
    <tableColumn id="13" xr3:uid="{3D8275BF-F560-4892-97F4-E2FE3C4A2989}" name="frame_a_obj" dataDxfId="37"/>
    <tableColumn id="15" xr3:uid="{1638790C-1429-45EA-B639-2A8309FF605E}" name="frame_a_name" dataDxfId="36">
      <calculatedColumnFormula>"frame_"&amp;INT((ROW()-2) / 3)&amp;"_"</calculatedColumnFormula>
    </tableColumn>
    <tableColumn id="14" xr3:uid="{51B3FBC1-F6B6-489D-88B0-429BC28FCE2B}" name="frame_b_obj" dataDxfId="35"/>
    <tableColumn id="16" xr3:uid="{556DC100-D859-4E38-8474-1FC3CD1D0237}" name="frame_b_name" dataDxfId="34">
      <calculatedColumnFormula>"frame__"&amp;変換前のテーブル[[#This Row],[index]]&amp;"__"</calculatedColumnFormula>
    </tableColumn>
    <tableColumn id="17" xr3:uid="{6F430873-D437-4797-B755-2E074CC4AEC5}" name="layout_a_name" dataDxfId="33">
      <calculatedColumnFormula>"horizontalLayout_"&amp;INT((ROW()-2) / 3)&amp;"_"</calculatedColumnFormula>
    </tableColumn>
    <tableColumn id="18" xr3:uid="{4E4EAD8E-C48B-4A76-A768-9F9B6C4FF88C}" name="layout_a_obj" dataDxfId="32"/>
    <tableColumn id="19" xr3:uid="{1A1DF732-E0D3-40B2-AA33-456B6B3DA69C}" name="layout_b_name" dataDxfId="31">
      <calculatedColumnFormula>"horizontalLayout__"&amp;変換前のテーブル[[#This Row],[index]]&amp;"__"</calculatedColumnFormula>
    </tableColumn>
    <tableColumn id="20" xr3:uid="{2C713988-F93A-4DC1-84B6-0C414B15AB68}" name="layout_b_obj" dataDxfId="30"/>
    <tableColumn id="25" xr3:uid="{F8D34E5A-883E-4A80-80EB-1D87152E7452}" name="info" dataDxfId="29">
      <calculatedColumnFormula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calculatedColumnFormula>
    </tableColumn>
    <tableColumn id="10" xr3:uid="{E334C596-6EFA-4129-AE99-BD060BD5AB06}" name="is_rept" dataDxfId="28"/>
    <tableColumn id="21" xr3:uid="{53217D06-23B1-4DB1-B0F4-56ACAEADBA59}" name="is_show" dataDxfId="27"/>
    <tableColumn id="22" xr3:uid="{A57D1009-D0FF-414F-95E4-330932A88121}" name="list_item" dataDxfId="26"/>
    <tableColumn id="23" xr3:uid="{3B772F2D-9622-4220-B188-F20E68F3B7B3}" name="name" dataDxfId="25"/>
    <tableColumn id="24" xr3:uid="{81D5CAFA-006F-48E3-87A6-8DB2D8792D57}" name="replace_keys" dataDxfId="24"/>
    <tableColumn id="26" xr3:uid="{30D1A987-A511-4EDD-B23A-95253E8D16D4}" name="replace_values" dataDxfId="23"/>
    <tableColumn id="27" xr3:uid="{3AC9BDF3-BB94-4805-ACB5-9B5B5D9182C4}" name="is_b_line_show" dataDxfId="22"/>
    <tableColumn id="28" xr3:uid="{A990CAC1-3DA0-4D92-882D-4BFAFCE1BF49}" name="length" dataDxfId="21"/>
    <tableColumn id="29" xr3:uid="{4C07461D-6854-4011-BE76-1BF7C654F4BA}" name="min_max" dataDxfId="20"/>
    <tableColumn id="30" xr3:uid="{A555B2DB-5564-44C5-8981-F2E014FB9A3E}" name="re" dataDxfId="19"/>
    <tableColumn id="31" xr3:uid="{433C0096-A815-4C34-B034-4A5012960BF6}" name="remarks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56F5CA-59CF-4F42-9C3A-525BB2E03EC5}" name="_参照テーブル" displayName="_参照テーブル" ref="BK1:BU133" totalsRowShown="0" headerRowDxfId="17" dataDxfId="16">
  <autoFilter ref="BK1:BU133" xr:uid="{1F56F5CA-59CF-4F42-9C3A-525BB2E03EC5}"/>
  <tableColumns count="11">
    <tableColumn id="1" xr3:uid="{29B97FF7-0D45-4787-99FA-A168D0D44CC3}" name="index" dataDxfId="15"/>
    <tableColumn id="3" xr3:uid="{6B68994C-69E7-4591-8110-C3DF04F3C512}" name="list" dataDxfId="14">
      <calculatedColumnFormula>変換前のテーブル[[#This Row],[list_item]] &amp; ""</calculatedColumnFormula>
    </tableColumn>
    <tableColumn id="4" xr3:uid="{2FC545EF-D886-4DFC-B562-33B85B9C9244}" name="conv" dataDxfId="13">
      <calculatedColumnFormula>SUBSTITUTE(SUBSTITUTE(SUBSTITUTE(_参照テーブル[[#This Row],[list]], "'", ""),"[", ""), "]", "")</calculatedColumnFormula>
    </tableColumn>
    <tableColumn id="5" xr3:uid="{0A79BF63-5182-4ACD-86D8-2ED67C561D4A}" name="min" dataDxfId="12">
      <calculatedColumnFormula array="1">MIN(VALUE(_xlfn.TEXTSPLIT(_参照テーブル[[#This Row],[conv]], ", ")))</calculatedColumnFormula>
    </tableColumn>
    <tableColumn id="6" xr3:uid="{6A59C5B3-D191-4139-AB1A-1FDEADB76599}" name="max" dataDxfId="11">
      <calculatedColumnFormula array="1">MAX(VALUE(_xlfn.TEXTSPLIT(_参照テーブル[[#This Row],[conv]], ", ")))</calculatedColumnFormula>
    </tableColumn>
    <tableColumn id="7" xr3:uid="{84C262EF-81BF-43CF-8DE1-A7C9CCBBBE5F}" name="inli_text" dataDxfId="10">
      <calculatedColumnFormula>IFERROR("("&amp;_参照テーブル[[#This Row],[min]]&amp;"～"&amp;_参照テーブル[[#This Row],[max]]&amp;")","")</calculatedColumnFormula>
    </tableColumn>
    <tableColumn id="2" xr3:uid="{E7E133D1-128A-4F82-8EC1-9286149B99CA}" name="list2" dataDxfId="9">
      <calculatedColumnFormula>変換前のテーブル[[#This Row],[min_max]]</calculatedColumnFormula>
    </tableColumn>
    <tableColumn id="8" xr3:uid="{A1AC20C5-A636-4D5E-AF5E-AD781B5778E8}" name="list2_" dataDxfId="8">
      <calculatedColumnFormula>SUBSTITUTE(SUBSTITUTE(_参照テーブル[[#This Row],[list2]],"[",""),"]","")</calculatedColumnFormula>
    </tableColumn>
    <tableColumn id="9" xr3:uid="{403FE4FA-2C18-486B-8CC3-1FEE7C33D23F}" name="min_" dataDxfId="7">
      <calculatedColumnFormula array="1">_xlfn.CHOOSECOLS(_xlfn.TEXTSPLIT(_参照テーブル[[#This Row],[list2_]],","),1)</calculatedColumnFormula>
    </tableColumn>
    <tableColumn id="10" xr3:uid="{7300207E-3B0B-4C49-B64A-C7D41A52C778}" name="max_" dataDxfId="6">
      <calculatedColumnFormula array="1">_xlfn.CHOOSECOLS(_xlfn.TEXTSPLIT(_参照テーブル[[#This Row],[list2_]],","),2)</calculatedColumnFormula>
    </tableColumn>
    <tableColumn id="11" xr3:uid="{DDAF56F0-B090-4EAA-A3CE-5BD62FCDE426}" name="min_max" dataDxfId="5">
      <calculatedColumnFormula>IFERROR("("&amp;_参照テーブル[[#This Row],[min_]]&amp;"～"&amp;_参照テーブル[[#This Row],[max_]]&amp;")", "")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64E81-1156-4E74-BC33-4D48A5357F8D}" name="_target_csv_path" displayName="_target_csv_path" ref="A4:A5" totalsRowShown="0">
  <autoFilter ref="A4:A5" xr:uid="{29164E81-1156-4E74-BC33-4D48A5357F8D}"/>
  <tableColumns count="1">
    <tableColumn id="1" xr3:uid="{4F3D6385-F7F7-4832-B846-7ED58080F1E0}" name="target_csv_path">
      <calculatedColumnFormula>A2&amp;"data_list.csv"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54614B-40F2-48CB-992C-E722FBD77881}" name="_int_columns" displayName="_int_columns" ref="C4:C6" totalsRowShown="0">
  <autoFilter ref="C4:C6" xr:uid="{1154614B-40F2-48CB-992C-E722FBD77881}"/>
  <tableColumns count="1">
    <tableColumn id="1" xr3:uid="{3A1B7FD7-9FE7-48FE-9B99-CE93E55A0966}" name="int_column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18FEC1-956F-4EF4-BBC2-14A56AB3B7EB}" name="_TypeInfo" displayName="_TypeInfo" ref="H4:I26" totalsRowShown="0">
  <autoFilter ref="H4:I26" xr:uid="{0E18FEC1-956F-4EF4-BBC2-14A56AB3B7EB}"/>
  <sortState xmlns:xlrd2="http://schemas.microsoft.com/office/spreadsheetml/2017/richdata2" ref="H5:I26">
    <sortCondition ref="H4:H26"/>
  </sortState>
  <tableColumns count="2">
    <tableColumn id="1" xr3:uid="{355CBFBB-9D12-40DB-99E4-7E702335C0BB}" name="type"/>
    <tableColumn id="2" xr3:uid="{A9820C27-6637-47C6-A77F-07CDE4E12D5A}" name="info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A8C939-502F-42A4-A8EB-CDD9617326EB}" name="_名刺サンプル" displayName="_名刺サンプル" ref="A1:AD15" totalsRowShown="0">
  <autoFilter ref="A1:AD15" xr:uid="{1CA8C939-502F-42A4-A8EB-CDD9617326EB}"/>
  <tableColumns count="30">
    <tableColumn id="1" xr3:uid="{17624382-F331-4153-A668-FA47DF6BD19D}" name="index"/>
    <tableColumn id="2" xr3:uid="{2C437293-3C4F-42B6-9B46-A492459576DA}" name="display_name"/>
    <tableColumn id="3" xr3:uid="{3500F561-BA6B-4622-BF17-7C9A24994248}" name="data_type"/>
    <tableColumn id="4" xr3:uid="{D78ED9E9-F816-4A2C-A193-31A7E5E915C5}" name="label_name"/>
    <tableColumn id="5" xr3:uid="{0BA588AF-1D09-4EBE-92A5-6A2EB62219F4}" name="line_edit_name"/>
    <tableColumn id="6" xr3:uid="{87289ADA-2195-4DBB-808B-A748CD945B9D}" name="is_last"/>
    <tableColumn id="7" xr3:uid="{F9A1E4EF-E9BA-4EA7-B956-82D1E6B02390}" name="line_edit_obj"/>
    <tableColumn id="8" xr3:uid="{4097B25B-FC1D-4760-8825-9973424B0874}" name="ime_mode"/>
    <tableColumn id="9" xr3:uid="{D6C177AA-7AC3-4D1B-ABA5-B19B8015E8F5}" name="pn_auto_input"/>
    <tableColumn id="10" xr3:uid="{4B88A6F7-967B-49A1-A489-F2C4892766D2}" name="text_conversion"/>
    <tableColumn id="11" xr3:uid="{7CAF0534-24A3-4E24-80B2-86FC3C6F4DE8}" name="label_obj"/>
    <tableColumn id="12" xr3:uid="{1A0A57D0-A9A2-4EA8-B2E0-55BE4C41F263}" name="frame_a_obj"/>
    <tableColumn id="13" xr3:uid="{B3FFFCEF-0CDE-4E0B-A6C8-CB05397E4FF3}" name="frame_a_name"/>
    <tableColumn id="14" xr3:uid="{8E8201F7-E7D9-4F0D-B9EA-CCD3BDF506C4}" name="frame_b_obj"/>
    <tableColumn id="15" xr3:uid="{156624D6-9FFA-4925-BF09-C8A43D1ECAC3}" name="frame_b_name"/>
    <tableColumn id="16" xr3:uid="{0E2122F9-6A76-4F54-A9D9-FFE7FADC4AF0}" name="layout_a_name"/>
    <tableColumn id="17" xr3:uid="{2665AF22-E53E-414C-B7A6-147CAF77B71A}" name="layout_a_obj"/>
    <tableColumn id="18" xr3:uid="{F1770E7D-B4E9-470B-9517-81AFE60A1C82}" name="layout_b_name"/>
    <tableColumn id="19" xr3:uid="{636E26AF-B2FA-46F3-AD72-16837F29F720}" name="layout_b_obj"/>
    <tableColumn id="20" xr3:uid="{4566AE7B-A757-42F4-93BF-56582AF61932}" name="info"/>
    <tableColumn id="21" xr3:uid="{541CCDD5-585B-47A6-ADA1-90A63250F48D}" name="is_rept"/>
    <tableColumn id="22" xr3:uid="{F08005EF-742A-49BC-BE3B-66BFA9AA5318}" name="is_show"/>
    <tableColumn id="23" xr3:uid="{9D046A1E-9FD7-4E5B-8DD4-86080922D7D8}" name="list_item"/>
    <tableColumn id="24" xr3:uid="{A4DAE4E1-927B-4867-A0ED-BDB7842FC1D5}" name="name"/>
    <tableColumn id="25" xr3:uid="{092F43AE-9559-4687-B0B5-F07A2045CAC3}" name="replace_keys"/>
    <tableColumn id="26" xr3:uid="{C7154C84-6825-4BB6-B9CE-FFF607F46A65}" name="replace_values"/>
    <tableColumn id="27" xr3:uid="{984CBA2F-3CEF-4DB3-8838-728E6DB1C15D}" name="is_b_line_show"/>
    <tableColumn id="28" xr3:uid="{61C991EB-7E39-4AC3-9568-1D68F184630B}" name="length"/>
    <tableColumn id="29" xr3:uid="{F57DE69C-19EF-4375-86C5-303A20F9831D}" name="min_max"/>
    <tableColumn id="30" xr3:uid="{929CD302-6E16-4FBF-9A0B-E21D87566A38}" name="r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800F-1BBE-4D87-9800-50F9B73A0163}">
  <sheetPr>
    <tabColor rgb="FFFFFF00"/>
  </sheetPr>
  <dimension ref="A1:E17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28.69921875" style="29" bestFit="1" customWidth="1"/>
    <col min="2" max="2" width="8.59765625" style="29" bestFit="1" customWidth="1"/>
    <col min="3" max="3" width="33.8984375" style="29" bestFit="1" customWidth="1"/>
    <col min="4" max="4" width="33.09765625" style="29" bestFit="1" customWidth="1"/>
    <col min="5" max="16384" width="8.796875" style="29"/>
  </cols>
  <sheetData>
    <row r="1" spans="1:5">
      <c r="A1" s="28" t="s">
        <v>376</v>
      </c>
      <c r="B1" s="28" t="s">
        <v>377</v>
      </c>
      <c r="C1" s="28" t="s">
        <v>378</v>
      </c>
      <c r="D1" s="28" t="s">
        <v>379</v>
      </c>
    </row>
    <row r="2" spans="1:5">
      <c r="A2" s="30" t="s">
        <v>364</v>
      </c>
      <c r="B2" s="30" t="s">
        <v>380</v>
      </c>
      <c r="C2" s="30" t="s">
        <v>381</v>
      </c>
      <c r="D2" s="30"/>
    </row>
    <row r="3" spans="1:5">
      <c r="A3" s="30" t="s">
        <v>382</v>
      </c>
      <c r="B3" s="30" t="s">
        <v>380</v>
      </c>
      <c r="C3" s="30"/>
      <c r="D3" s="31" t="s">
        <v>383</v>
      </c>
    </row>
    <row r="4" spans="1:5">
      <c r="A4" s="30" t="s">
        <v>384</v>
      </c>
      <c r="B4" s="30" t="s">
        <v>380</v>
      </c>
      <c r="C4" s="30"/>
      <c r="D4" s="31" t="s">
        <v>385</v>
      </c>
    </row>
    <row r="5" spans="1:5" ht="36">
      <c r="A5" s="30" t="s">
        <v>386</v>
      </c>
      <c r="B5" s="30" t="s">
        <v>387</v>
      </c>
      <c r="C5" s="32" t="s">
        <v>388</v>
      </c>
      <c r="D5" s="30"/>
    </row>
    <row r="6" spans="1:5" ht="36">
      <c r="A6" s="30" t="s">
        <v>389</v>
      </c>
      <c r="B6" s="30" t="s">
        <v>387</v>
      </c>
      <c r="C6" s="32" t="s">
        <v>388</v>
      </c>
      <c r="D6" s="30"/>
    </row>
    <row r="7" spans="1:5" ht="36">
      <c r="A7" s="30" t="s">
        <v>390</v>
      </c>
      <c r="B7" s="30" t="s">
        <v>387</v>
      </c>
      <c r="C7" s="32" t="s">
        <v>388</v>
      </c>
      <c r="D7" s="30"/>
    </row>
    <row r="8" spans="1:5">
      <c r="A8" s="30" t="s">
        <v>391</v>
      </c>
      <c r="B8" s="30" t="s">
        <v>387</v>
      </c>
      <c r="C8" s="33" t="s">
        <v>392</v>
      </c>
      <c r="D8" s="30"/>
    </row>
    <row r="9" spans="1:5">
      <c r="A9" s="30" t="s">
        <v>393</v>
      </c>
      <c r="B9" s="30" t="s">
        <v>387</v>
      </c>
      <c r="C9" s="30"/>
      <c r="D9" s="31" t="s">
        <v>426</v>
      </c>
      <c r="E9" s="37" t="s">
        <v>427</v>
      </c>
    </row>
    <row r="10" spans="1:5">
      <c r="A10" s="30" t="s">
        <v>394</v>
      </c>
      <c r="B10" s="30" t="s">
        <v>387</v>
      </c>
      <c r="C10" s="30"/>
      <c r="D10" s="34" t="s">
        <v>428</v>
      </c>
      <c r="E10" s="37" t="s">
        <v>427</v>
      </c>
    </row>
    <row r="11" spans="1:5">
      <c r="A11" s="30" t="s">
        <v>395</v>
      </c>
      <c r="B11" s="30" t="s">
        <v>380</v>
      </c>
      <c r="C11" s="30" t="s">
        <v>396</v>
      </c>
      <c r="D11" s="31" t="s">
        <v>397</v>
      </c>
    </row>
    <row r="12" spans="1:5">
      <c r="A12" s="30" t="s">
        <v>398</v>
      </c>
      <c r="B12" s="30" t="s">
        <v>380</v>
      </c>
      <c r="C12" s="30"/>
      <c r="D12" s="35" t="s">
        <v>399</v>
      </c>
    </row>
    <row r="13" spans="1:5">
      <c r="A13" s="30" t="s">
        <v>400</v>
      </c>
      <c r="B13" s="30" t="s">
        <v>380</v>
      </c>
      <c r="C13" s="30"/>
      <c r="D13" s="31" t="s">
        <v>429</v>
      </c>
      <c r="E13" s="37" t="s">
        <v>427</v>
      </c>
    </row>
    <row r="14" spans="1:5">
      <c r="A14" s="30" t="s">
        <v>401</v>
      </c>
      <c r="B14" s="30" t="s">
        <v>380</v>
      </c>
      <c r="C14" s="30"/>
      <c r="D14" s="31" t="s">
        <v>430</v>
      </c>
      <c r="E14" s="37" t="s">
        <v>427</v>
      </c>
    </row>
    <row r="15" spans="1:5">
      <c r="A15" s="30" t="s">
        <v>402</v>
      </c>
      <c r="B15" s="30" t="s">
        <v>380</v>
      </c>
      <c r="C15" s="30"/>
      <c r="D15" s="31" t="s">
        <v>431</v>
      </c>
      <c r="E15" s="37" t="s">
        <v>427</v>
      </c>
    </row>
    <row r="16" spans="1:5">
      <c r="A16" s="30" t="s">
        <v>432</v>
      </c>
      <c r="B16" s="30" t="s">
        <v>380</v>
      </c>
      <c r="C16" s="30"/>
      <c r="D16" s="31" t="s">
        <v>433</v>
      </c>
      <c r="E16" s="37" t="s">
        <v>427</v>
      </c>
    </row>
    <row r="17" spans="1:4">
      <c r="A17" s="30" t="s">
        <v>403</v>
      </c>
      <c r="B17" s="36"/>
      <c r="C17" s="30" t="s">
        <v>404</v>
      </c>
      <c r="D17" s="3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7144-C5CE-4E7E-9ECB-B00CD953659F}">
  <sheetPr codeName="Sheet1">
    <tabColor rgb="FF00B0F0"/>
  </sheetPr>
  <dimension ref="A1:BU133"/>
  <sheetViews>
    <sheetView tabSelected="1" zoomScale="115" zoomScaleNormal="115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P16" sqref="P13:P16"/>
    </sheetView>
  </sheetViews>
  <sheetFormatPr defaultColWidth="8.69921875" defaultRowHeight="12.6"/>
  <cols>
    <col min="1" max="1" width="6.09765625" style="2" bestFit="1" customWidth="1"/>
    <col min="2" max="2" width="17" style="2" customWidth="1"/>
    <col min="3" max="3" width="13.19921875" style="2" customWidth="1"/>
    <col min="4" max="4" width="10.69921875" style="2" bestFit="1" customWidth="1"/>
    <col min="5" max="5" width="10.5" style="2" customWidth="1"/>
    <col min="6" max="6" width="8" style="2" bestFit="1" customWidth="1"/>
    <col min="7" max="7" width="14" style="2" bestFit="1" customWidth="1"/>
    <col min="8" max="8" width="8.8984375" style="2" bestFit="1" customWidth="1"/>
    <col min="9" max="9" width="14" style="2" bestFit="1" customWidth="1"/>
    <col min="10" max="10" width="16" style="2" bestFit="1" customWidth="1"/>
    <col min="11" max="11" width="9.8984375" style="2" bestFit="1" customWidth="1"/>
    <col min="12" max="12" width="11.8984375" style="2" bestFit="1" customWidth="1"/>
    <col min="13" max="13" width="12.8984375" style="2" bestFit="1" customWidth="1"/>
    <col min="14" max="14" width="11.8984375" style="2" bestFit="1" customWidth="1"/>
    <col min="15" max="15" width="12.8984375" style="2" customWidth="1"/>
    <col min="16" max="16" width="20.09765625" style="2" bestFit="1" customWidth="1"/>
    <col min="17" max="17" width="12.8984375" style="2" bestFit="1" customWidth="1"/>
    <col min="18" max="18" width="23.19921875" style="2" bestFit="1" customWidth="1"/>
    <col min="19" max="19" width="12.8984375" style="2" bestFit="1" customWidth="1"/>
    <col min="20" max="20" width="21.19921875" style="2" customWidth="1"/>
    <col min="21" max="22" width="8" style="2" bestFit="1" customWidth="1"/>
    <col min="23" max="23" width="40.09765625" style="2" customWidth="1"/>
    <col min="24" max="24" width="19.19921875" style="2" bestFit="1" customWidth="1"/>
    <col min="25" max="25" width="15.19921875" style="2" bestFit="1" customWidth="1"/>
    <col min="26" max="26" width="22.19921875" style="2" bestFit="1" customWidth="1"/>
    <col min="27" max="27" width="16.3984375" style="2" bestFit="1" customWidth="1"/>
    <col min="28" max="28" width="10.3984375" style="2" bestFit="1" customWidth="1"/>
    <col min="29" max="29" width="8.69921875" style="2" bestFit="1" customWidth="1"/>
    <col min="30" max="30" width="13.3984375" style="2" customWidth="1"/>
    <col min="31" max="31" width="10.69921875" style="2" customWidth="1"/>
    <col min="32" max="34" width="8.69921875" style="2"/>
    <col min="35" max="35" width="9.5" style="2" bestFit="1" customWidth="1"/>
    <col min="36" max="36" width="20.19921875" style="2" bestFit="1" customWidth="1"/>
    <col min="37" max="63" width="8.69921875" style="2"/>
    <col min="64" max="64" width="10.3984375" style="2" bestFit="1" customWidth="1"/>
    <col min="65" max="68" width="8.69921875" style="2"/>
    <col min="69" max="69" width="11.3984375" style="2" bestFit="1" customWidth="1"/>
    <col min="70" max="16384" width="8.69921875" style="2"/>
  </cols>
  <sheetData>
    <row r="1" spans="1:73" ht="28.95" customHeight="1">
      <c r="A1" s="23" t="s">
        <v>1</v>
      </c>
      <c r="B1" s="24" t="s">
        <v>2</v>
      </c>
      <c r="C1" s="24" t="s">
        <v>9</v>
      </c>
      <c r="D1" s="24" t="s">
        <v>3</v>
      </c>
      <c r="E1" s="24" t="s">
        <v>4</v>
      </c>
      <c r="F1" s="25" t="s">
        <v>6</v>
      </c>
      <c r="G1" s="24" t="s">
        <v>8</v>
      </c>
      <c r="H1" s="24" t="s">
        <v>13</v>
      </c>
      <c r="I1" s="24" t="s">
        <v>14</v>
      </c>
      <c r="J1" s="24" t="s">
        <v>15</v>
      </c>
      <c r="K1" s="24" t="s">
        <v>16</v>
      </c>
      <c r="L1" s="24" t="s">
        <v>17</v>
      </c>
      <c r="M1" s="24" t="s">
        <v>19</v>
      </c>
      <c r="N1" s="24" t="s">
        <v>18</v>
      </c>
      <c r="O1" s="24" t="s">
        <v>20</v>
      </c>
      <c r="P1" s="24" t="s">
        <v>21</v>
      </c>
      <c r="Q1" s="24" t="s">
        <v>22</v>
      </c>
      <c r="R1" s="24" t="s">
        <v>23</v>
      </c>
      <c r="S1" s="24" t="s">
        <v>24</v>
      </c>
      <c r="T1" s="25" t="s">
        <v>25</v>
      </c>
      <c r="U1" s="24" t="s">
        <v>26</v>
      </c>
      <c r="V1" s="24" t="s">
        <v>29</v>
      </c>
      <c r="W1" s="24" t="s">
        <v>30</v>
      </c>
      <c r="X1" s="25" t="s">
        <v>31</v>
      </c>
      <c r="Y1" s="24" t="s">
        <v>33</v>
      </c>
      <c r="Z1" s="24" t="s">
        <v>34</v>
      </c>
      <c r="AA1" s="24" t="s">
        <v>39</v>
      </c>
      <c r="AB1" s="24" t="s">
        <v>61</v>
      </c>
      <c r="AC1" s="24" t="s">
        <v>47</v>
      </c>
      <c r="AD1" s="26" t="s">
        <v>68</v>
      </c>
      <c r="AE1" s="24" t="s">
        <v>299</v>
      </c>
      <c r="BK1" s="2" t="s">
        <v>1</v>
      </c>
      <c r="BL1" s="2" t="s">
        <v>40</v>
      </c>
      <c r="BM1" s="2" t="s">
        <v>32</v>
      </c>
      <c r="BN1" s="2" t="s">
        <v>41</v>
      </c>
      <c r="BO1" s="2" t="s">
        <v>42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52</v>
      </c>
      <c r="BU1" s="2" t="s">
        <v>53</v>
      </c>
    </row>
    <row r="2" spans="1:73" ht="75.599999999999994" customHeight="1">
      <c r="A2" s="12">
        <f t="shared" ref="A2:A15" si="0">ROW()-2</f>
        <v>0</v>
      </c>
      <c r="B2" s="11" t="str">
        <f>SUBSTITUTE(変換前のテーブル[[#This Row],[name]],"：",":")&amp;":"</f>
        <v>ID:</v>
      </c>
      <c r="C2" s="11" t="s">
        <v>411</v>
      </c>
      <c r="D2" s="11" t="str">
        <f>"label_"&amp;変換前のテーブル[[#This Row],[index]]&amp;"_"</f>
        <v>label_0_</v>
      </c>
      <c r="E2" s="11" t="str">
        <f>"lineEdit_"&amp;変換前のテーブル[[#This Row],[index]]&amp;"_"</f>
        <v>lineEdit_0_</v>
      </c>
      <c r="F2" s="13" cm="1">
        <f t="array" ref="F2">_xlfn.IFS(ROW()-1=1,-1,ROW()-1=ROWS(変換前のテーブル[index]),1,TRUE,0)</f>
        <v>-1</v>
      </c>
      <c r="G2" s="11"/>
      <c r="H2" s="11" t="s">
        <v>149</v>
      </c>
      <c r="I2" s="11" t="s">
        <v>90</v>
      </c>
      <c r="J2" s="11"/>
      <c r="K2" s="11"/>
      <c r="L2" s="11"/>
      <c r="M2" s="11" t="str">
        <f t="shared" ref="M2:M15" si="1">"frame_"&amp;INT((ROW()-2) / 3)&amp;"_"</f>
        <v>frame_0_</v>
      </c>
      <c r="N2" s="11"/>
      <c r="O2" s="11" t="str">
        <f>"frame__"&amp;変換前のテーブル[[#This Row],[index]]&amp;"__"</f>
        <v>frame__0__</v>
      </c>
      <c r="P2" s="11" t="str">
        <f t="shared" ref="P2:P8" si="2">"horizontalLayout_"&amp;INT((ROW()-2) / 3)&amp;"_"</f>
        <v>horizontalLayout_0_</v>
      </c>
      <c r="Q2" s="11"/>
      <c r="R2" s="11" t="str">
        <f>"horizontalLayout__"&amp;変換前のテーブル[[#This Row],[index]]&amp;"__"</f>
        <v>horizontalLayout__0__</v>
      </c>
      <c r="S2" s="11"/>
      <c r="T2" s="11" t="s">
        <v>425</v>
      </c>
      <c r="U2" s="14" t="s">
        <v>27</v>
      </c>
      <c r="V2" s="14" t="s">
        <v>28</v>
      </c>
      <c r="W2" s="11"/>
      <c r="X2" s="11" t="s">
        <v>364</v>
      </c>
      <c r="Y2" s="11"/>
      <c r="Z2" s="11"/>
      <c r="AA2" s="14"/>
      <c r="AB2" s="11">
        <v>10</v>
      </c>
      <c r="AC2" s="11"/>
      <c r="AD2" s="15"/>
      <c r="AE2" s="11"/>
      <c r="BK2" s="2">
        <v>0</v>
      </c>
      <c r="BL2" s="2" t="str">
        <f>変換前のテーブル[[#This Row],[list_item]] &amp; ""</f>
        <v/>
      </c>
      <c r="BM2" s="2" t="str">
        <f>SUBSTITUTE(SUBSTITUTE(SUBSTITUTE(_参照テーブル[[#This Row],[list]], "'", ""),"[", ""), "]", "")</f>
        <v/>
      </c>
      <c r="BN2" s="2" t="e" cm="1">
        <f t="array" ref="BN2">MIN(VALUE(_xlfn.TEXTSPLIT(_参照テーブル[[#This Row],[conv]], ", ")))</f>
        <v>#VALUE!</v>
      </c>
      <c r="BO2" s="2" t="e" cm="1">
        <f t="array" ref="BO2">MAX(VALUE(_xlfn.TEXTSPLIT(_参照テーブル[[#This Row],[conv]], ", ")))</f>
        <v>#VALUE!</v>
      </c>
      <c r="BP2" s="2" t="str">
        <f>IFERROR("("&amp;_参照テーブル[[#This Row],[min]]&amp;"～"&amp;_参照テーブル[[#This Row],[max]]&amp;")","")</f>
        <v/>
      </c>
      <c r="BQ2" s="2">
        <f>変換前のテーブル[[#This Row],[min_max]]</f>
        <v>0</v>
      </c>
      <c r="BR2" s="2" t="str">
        <f>SUBSTITUTE(SUBSTITUTE(_参照テーブル[[#This Row],[list2]],"[",""),"]","")</f>
        <v>0</v>
      </c>
      <c r="BS2" s="2" t="str" cm="1">
        <f t="array" ref="BS2">_xlfn.CHOOSECOLS(_xlfn.TEXTSPLIT(_参照テーブル[[#This Row],[list2_]],","),1)</f>
        <v>0</v>
      </c>
      <c r="BT2" s="2" t="e" cm="1">
        <f t="array" ref="BT2">_xlfn.CHOOSECOLS(_xlfn.TEXTSPLIT(_参照テーブル[[#This Row],[list2_]],","),2)</f>
        <v>#VALUE!</v>
      </c>
      <c r="BU2" s="2" t="str">
        <f>IFERROR("("&amp;_参照テーブル[[#This Row],[min_]]&amp;"～"&amp;_参照テーブル[[#This Row],[max_]]&amp;")", "")</f>
        <v/>
      </c>
    </row>
    <row r="3" spans="1:73" ht="13.2">
      <c r="A3" s="12">
        <f t="shared" si="0"/>
        <v>1</v>
      </c>
      <c r="B3" s="11" t="str">
        <f>SUBSTITUTE(変換前のテーブル[[#This Row],[name]],"：",":")&amp;":"</f>
        <v>登録情報:</v>
      </c>
      <c r="C3" s="11" t="s">
        <v>244</v>
      </c>
      <c r="D3" s="11" t="str">
        <f>"label_"&amp;変換前のテーブル[[#This Row],[index]]&amp;"_"</f>
        <v>label_1_</v>
      </c>
      <c r="E3" s="11" t="str">
        <f>"lineEdit_"&amp;変換前のテーブル[[#This Row],[index]]&amp;"_"</f>
        <v>lineEdit_1_</v>
      </c>
      <c r="F3" s="13" cm="1">
        <f t="array" ref="F3">_xlfn.IFS(ROW()-1=1,-1,ROW()-1=ROWS(変換前のテーブル[index]),1,TRUE,0)</f>
        <v>0</v>
      </c>
      <c r="G3" s="11"/>
      <c r="H3" s="11" t="s">
        <v>149</v>
      </c>
      <c r="I3" s="11" t="s">
        <v>90</v>
      </c>
      <c r="J3" s="11"/>
      <c r="K3" s="11"/>
      <c r="L3" s="11"/>
      <c r="M3" s="11" t="str">
        <f t="shared" si="1"/>
        <v>frame_0_</v>
      </c>
      <c r="N3" s="11"/>
      <c r="O3" s="11" t="str">
        <f>"frame__"&amp;変換前のテーブル[[#This Row],[index]]&amp;"__"</f>
        <v>frame__1__</v>
      </c>
      <c r="P3" s="11" t="str">
        <f t="shared" si="2"/>
        <v>horizontalLayout_0_</v>
      </c>
      <c r="Q3" s="11"/>
      <c r="R3" s="11" t="str">
        <f>"horizontalLayout__"&amp;変換前のテーブル[[#This Row],[index]]&amp;"__"</f>
        <v>horizontalLayout__1__</v>
      </c>
      <c r="S3" s="11"/>
      <c r="T3" s="11" t="s">
        <v>407</v>
      </c>
      <c r="U3" s="14" t="s">
        <v>27</v>
      </c>
      <c r="V3" s="14" t="s">
        <v>28</v>
      </c>
      <c r="W3" s="11"/>
      <c r="X3" s="11" t="s">
        <v>365</v>
      </c>
      <c r="Y3" s="11"/>
      <c r="Z3" s="11"/>
      <c r="AA3" s="14"/>
      <c r="AB3" s="11"/>
      <c r="AC3" s="11"/>
      <c r="AD3" s="15"/>
      <c r="AE3" s="11"/>
      <c r="BK3" s="2">
        <f>BK2+1</f>
        <v>1</v>
      </c>
      <c r="BL3" s="2" t="str">
        <f>変換前のテーブル[[#This Row],[list_item]] &amp; ""</f>
        <v/>
      </c>
      <c r="BM3" s="2" t="str">
        <f>SUBSTITUTE(SUBSTITUTE(SUBSTITUTE(_参照テーブル[[#This Row],[list]], "'", ""),"[", ""), "]", "")</f>
        <v/>
      </c>
      <c r="BN3" s="2" t="e" cm="1">
        <f t="array" ref="BN3">MIN(VALUE(_xlfn.TEXTSPLIT(_参照テーブル[[#This Row],[conv]], ", ")))</f>
        <v>#VALUE!</v>
      </c>
      <c r="BO3" s="2" t="e" cm="1">
        <f t="array" ref="BO3">MAX(VALUE(_xlfn.TEXTSPLIT(_参照テーブル[[#This Row],[conv]], ", ")))</f>
        <v>#VALUE!</v>
      </c>
      <c r="BP3" s="2" t="str">
        <f>IFERROR("("&amp;_参照テーブル[[#This Row],[min]]&amp;"～"&amp;_参照テーブル[[#This Row],[max]]&amp;")","")</f>
        <v/>
      </c>
      <c r="BQ3" s="2">
        <f>変換前のテーブル[[#This Row],[min_max]]</f>
        <v>0</v>
      </c>
      <c r="BR3" s="2" t="str">
        <f>SUBSTITUTE(SUBSTITUTE(_参照テーブル[[#This Row],[list2]],"[",""),"]","")</f>
        <v>0</v>
      </c>
      <c r="BS3" s="2" t="str" cm="1">
        <f t="array" ref="BS3">_xlfn.CHOOSECOLS(_xlfn.TEXTSPLIT(_参照テーブル[[#This Row],[list2_]],","),1)</f>
        <v>0</v>
      </c>
      <c r="BT3" s="2" t="e" cm="1">
        <f t="array" ref="BT3">_xlfn.CHOOSECOLS(_xlfn.TEXTSPLIT(_参照テーブル[[#This Row],[list2_]],","),2)</f>
        <v>#VALUE!</v>
      </c>
      <c r="BU3" s="2" t="str">
        <f>IFERROR("("&amp;_参照テーブル[[#This Row],[min_]]&amp;"～"&amp;_参照テーブル[[#This Row],[max_]]&amp;")", "")</f>
        <v/>
      </c>
    </row>
    <row r="4" spans="1:73" ht="13.2">
      <c r="A4" s="12">
        <f t="shared" si="0"/>
        <v>2</v>
      </c>
      <c r="B4" s="27" t="str">
        <f>SUBSTITUTE(変換前のテーブル[[#This Row],[name]],"：",":")&amp;":"</f>
        <v>郵便番号:</v>
      </c>
      <c r="C4" s="11" t="s">
        <v>244</v>
      </c>
      <c r="D4" s="11" t="str">
        <f>"label_"&amp;変換前のテーブル[[#This Row],[index]]&amp;"_"</f>
        <v>label_2_</v>
      </c>
      <c r="E4" s="11" t="str">
        <f>"lineEdit_"&amp;変換前のテーブル[[#This Row],[index]]&amp;"_"</f>
        <v>lineEdit_2_</v>
      </c>
      <c r="F4" s="13" cm="1">
        <f t="array" ref="F4">_xlfn.IFS(ROW()-1=1,-1,ROW()-1=ROWS(変換前のテーブル[index]),1,TRUE,0)</f>
        <v>0</v>
      </c>
      <c r="G4" s="11"/>
      <c r="H4" s="11" t="s">
        <v>149</v>
      </c>
      <c r="I4" s="11" t="s">
        <v>406</v>
      </c>
      <c r="J4" s="11" t="s">
        <v>210</v>
      </c>
      <c r="K4" s="11"/>
      <c r="L4" s="11"/>
      <c r="M4" s="11" t="str">
        <f t="shared" si="1"/>
        <v>frame_0_</v>
      </c>
      <c r="N4" s="11"/>
      <c r="O4" s="11" t="str">
        <f>"frame__"&amp;変換前のテーブル[[#This Row],[index]]&amp;"__"</f>
        <v>frame__2__</v>
      </c>
      <c r="P4" s="11" t="s">
        <v>152</v>
      </c>
      <c r="Q4" s="11"/>
      <c r="R4" s="11" t="str">
        <f>"horizontalLayout__"&amp;変換前のテーブル[[#This Row],[index]]&amp;"__"</f>
        <v>horizontalLayout__2__</v>
      </c>
      <c r="S4" s="11"/>
      <c r="T4" s="11" t="s">
        <v>408</v>
      </c>
      <c r="U4" s="14" t="s">
        <v>27</v>
      </c>
      <c r="V4" s="14" t="s">
        <v>28</v>
      </c>
      <c r="W4" s="11"/>
      <c r="X4" s="11" t="s">
        <v>366</v>
      </c>
      <c r="Y4" s="11"/>
      <c r="Z4" s="11"/>
      <c r="AA4" s="14" t="s">
        <v>67</v>
      </c>
      <c r="AB4" s="11"/>
      <c r="AC4" s="11"/>
      <c r="AD4" s="15"/>
      <c r="AE4" s="11"/>
      <c r="BK4" s="2">
        <f t="shared" ref="BK4:BK67" si="3">BK3+1</f>
        <v>2</v>
      </c>
      <c r="BL4" s="2" t="str">
        <f>変換前のテーブル[[#This Row],[list_item]] &amp; ""</f>
        <v/>
      </c>
      <c r="BM4" s="2" t="str">
        <f>SUBSTITUTE(SUBSTITUTE(SUBSTITUTE(_参照テーブル[[#This Row],[list]], "'", ""),"[", ""), "]", "")</f>
        <v/>
      </c>
      <c r="BN4" s="2" t="e" cm="1">
        <f t="array" ref="BN4">MIN(VALUE(_xlfn.TEXTSPLIT(_参照テーブル[[#This Row],[conv]], ", ")))</f>
        <v>#VALUE!</v>
      </c>
      <c r="BO4" s="2" t="e" cm="1">
        <f t="array" ref="BO4">MAX(VALUE(_xlfn.TEXTSPLIT(_参照テーブル[[#This Row],[conv]], ", ")))</f>
        <v>#VALUE!</v>
      </c>
      <c r="BP4" s="2" t="str">
        <f>IFERROR("("&amp;_参照テーブル[[#This Row],[min]]&amp;"～"&amp;_参照テーブル[[#This Row],[max]]&amp;")","")</f>
        <v/>
      </c>
      <c r="BQ4" s="2">
        <f>変換前のテーブル[[#This Row],[min_max]]</f>
        <v>0</v>
      </c>
      <c r="BR4" s="2" t="str">
        <f>SUBSTITUTE(SUBSTITUTE(_参照テーブル[[#This Row],[list2]],"[",""),"]","")</f>
        <v>0</v>
      </c>
      <c r="BS4" s="2" t="str" cm="1">
        <f t="array" ref="BS4">_xlfn.CHOOSECOLS(_xlfn.TEXTSPLIT(_参照テーブル[[#This Row],[list2_]],","),1)</f>
        <v>0</v>
      </c>
      <c r="BT4" s="2" t="e" cm="1">
        <f t="array" ref="BT4">_xlfn.CHOOSECOLS(_xlfn.TEXTSPLIT(_参照テーブル[[#This Row],[list2_]],","),2)</f>
        <v>#VALUE!</v>
      </c>
      <c r="BU4" s="2" t="str">
        <f>IFERROR("("&amp;_参照テーブル[[#This Row],[min_]]&amp;"～"&amp;_参照テーブル[[#This Row],[max_]]&amp;")", "")</f>
        <v/>
      </c>
    </row>
    <row r="5" spans="1:73" ht="41.4" customHeight="1">
      <c r="A5" s="12">
        <f t="shared" si="0"/>
        <v>3</v>
      </c>
      <c r="B5" s="11" t="str">
        <f>SUBSTITUTE(変換前のテーブル[[#This Row],[name]],"：",":")&amp;":"</f>
        <v>都道府県:</v>
      </c>
      <c r="C5" s="11" t="s">
        <v>116</v>
      </c>
      <c r="D5" s="11" t="str">
        <f>"label_"&amp;変換前のテーブル[[#This Row],[index]]&amp;"_"</f>
        <v>label_3_</v>
      </c>
      <c r="E5" s="11" t="str">
        <f>"lineEdit_"&amp;変換前のテーブル[[#This Row],[index]]&amp;"_"</f>
        <v>lineEdit_3_</v>
      </c>
      <c r="F5" s="13" cm="1">
        <f t="array" ref="F5">_xlfn.IFS(ROW()-1=1,-1,ROW()-1=ROWS(変換前のテーブル[index]),1,TRUE,0)</f>
        <v>0</v>
      </c>
      <c r="G5" s="11"/>
      <c r="H5" s="11" t="s">
        <v>57</v>
      </c>
      <c r="I5" s="11" t="s">
        <v>405</v>
      </c>
      <c r="J5" s="11" t="s">
        <v>410</v>
      </c>
      <c r="K5" s="11"/>
      <c r="L5" s="11"/>
      <c r="M5" s="11" t="str">
        <f t="shared" si="1"/>
        <v>frame_1_</v>
      </c>
      <c r="N5" s="11"/>
      <c r="O5" s="11" t="str">
        <f>"frame__"&amp;変換前のテーブル[[#This Row],[index]]&amp;"__"</f>
        <v>frame__3__</v>
      </c>
      <c r="P5" s="11" t="str">
        <f t="shared" si="2"/>
        <v>horizontalLayout_1_</v>
      </c>
      <c r="Q5" s="11"/>
      <c r="R5" s="11" t="str">
        <f>"horizontalLayout__"&amp;変換前のテーブル[[#This Row],[index]]&amp;"__"</f>
        <v>horizontalLayout__3__</v>
      </c>
      <c r="S5" s="11"/>
      <c r="T5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都道府県: </v>
      </c>
      <c r="U5" s="14" t="s">
        <v>27</v>
      </c>
      <c r="V5" s="14" t="s">
        <v>28</v>
      </c>
      <c r="W5" s="11"/>
      <c r="X5" s="11" t="s">
        <v>367</v>
      </c>
      <c r="Y5" s="11"/>
      <c r="Z5" s="11"/>
      <c r="AA5" s="11"/>
      <c r="AB5" s="11"/>
      <c r="AC5" s="11"/>
      <c r="AD5" s="15"/>
      <c r="AE5" s="11"/>
      <c r="BK5" s="2">
        <f t="shared" si="3"/>
        <v>3</v>
      </c>
      <c r="BL5" s="2" t="str">
        <f>変換前のテーブル[[#This Row],[list_item]] &amp; ""</f>
        <v/>
      </c>
      <c r="BM5" s="2" t="str">
        <f>SUBSTITUTE(SUBSTITUTE(SUBSTITUTE(_参照テーブル[[#This Row],[list]], "'", ""),"[", ""), "]", "")</f>
        <v/>
      </c>
      <c r="BN5" s="2" t="e" cm="1">
        <f t="array" ref="BN5">MIN(VALUE(_xlfn.TEXTSPLIT(_参照テーブル[[#This Row],[conv]], ", ")))</f>
        <v>#VALUE!</v>
      </c>
      <c r="BO5" s="2" t="e" cm="1">
        <f t="array" ref="BO5">MAX(VALUE(_xlfn.TEXTSPLIT(_参照テーブル[[#This Row],[conv]], ", ")))</f>
        <v>#VALUE!</v>
      </c>
      <c r="BP5" s="2" t="str">
        <f>IFERROR("("&amp;_参照テーブル[[#This Row],[min]]&amp;"～"&amp;_参照テーブル[[#This Row],[max]]&amp;")","")</f>
        <v/>
      </c>
      <c r="BQ5" s="2">
        <f>変換前のテーブル[[#This Row],[min_max]]</f>
        <v>0</v>
      </c>
      <c r="BR5" s="2" t="str">
        <f>SUBSTITUTE(SUBSTITUTE(_参照テーブル[[#This Row],[list2]],"[",""),"]","")</f>
        <v>0</v>
      </c>
      <c r="BS5" s="2" t="str" cm="1">
        <f t="array" ref="BS5">_xlfn.CHOOSECOLS(_xlfn.TEXTSPLIT(_参照テーブル[[#This Row],[list2_]],","),1)</f>
        <v>0</v>
      </c>
      <c r="BT5" s="2" t="e" cm="1">
        <f t="array" ref="BT5">_xlfn.CHOOSECOLS(_xlfn.TEXTSPLIT(_参照テーブル[[#This Row],[list2_]],","),2)</f>
        <v>#VALUE!</v>
      </c>
      <c r="BU5" s="2" t="str">
        <f>IFERROR("("&amp;_参照テーブル[[#This Row],[min_]]&amp;"～"&amp;_参照テーブル[[#This Row],[max_]]&amp;")", "")</f>
        <v/>
      </c>
    </row>
    <row r="6" spans="1:73" ht="13.2">
      <c r="A6" s="12">
        <f t="shared" si="0"/>
        <v>4</v>
      </c>
      <c r="B6" s="11" t="str">
        <f>SUBSTITUTE(変換前のテーブル[[#This Row],[name]],"：",":")&amp;":"</f>
        <v>市区町村:</v>
      </c>
      <c r="C6" s="11" t="s">
        <v>116</v>
      </c>
      <c r="D6" s="11" t="str">
        <f>"label_"&amp;変換前のテーブル[[#This Row],[index]]&amp;"_"</f>
        <v>label_4_</v>
      </c>
      <c r="E6" s="11" t="str">
        <f>"lineEdit_"&amp;変換前のテーブル[[#This Row],[index]]&amp;"_"</f>
        <v>lineEdit_4_</v>
      </c>
      <c r="F6" s="13" cm="1">
        <f t="array" ref="F6">_xlfn.IFS(ROW()-1=1,-1,ROW()-1=ROWS(変換前のテーブル[index]),1,TRUE,0)</f>
        <v>0</v>
      </c>
      <c r="G6" s="11"/>
      <c r="H6" s="11" t="s">
        <v>57</v>
      </c>
      <c r="I6" s="11" t="s">
        <v>413</v>
      </c>
      <c r="J6" s="11" t="s">
        <v>410</v>
      </c>
      <c r="K6" s="11"/>
      <c r="L6" s="11"/>
      <c r="M6" s="11" t="str">
        <f t="shared" si="1"/>
        <v>frame_1_</v>
      </c>
      <c r="N6" s="11"/>
      <c r="O6" s="11" t="str">
        <f>"frame__"&amp;変換前のテーブル[[#This Row],[index]]&amp;"__"</f>
        <v>frame__4__</v>
      </c>
      <c r="P6" s="11" t="s">
        <v>415</v>
      </c>
      <c r="Q6" s="11"/>
      <c r="R6" s="11" t="str">
        <f>"horizontalLayout__"&amp;変換前のテーブル[[#This Row],[index]]&amp;"__"</f>
        <v>horizontalLayout__4__</v>
      </c>
      <c r="S6" s="11"/>
      <c r="T6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市区町村: </v>
      </c>
      <c r="U6" s="14" t="s">
        <v>27</v>
      </c>
      <c r="V6" s="14" t="s">
        <v>28</v>
      </c>
      <c r="W6" s="11"/>
      <c r="X6" s="11" t="s">
        <v>368</v>
      </c>
      <c r="Y6" s="11"/>
      <c r="Z6" s="11"/>
      <c r="AA6" s="11"/>
      <c r="AB6" s="11"/>
      <c r="AC6" s="11"/>
      <c r="AD6" s="15"/>
      <c r="AE6" s="11"/>
      <c r="BK6" s="2">
        <f t="shared" si="3"/>
        <v>4</v>
      </c>
      <c r="BL6" s="2" t="str">
        <f>変換前のテーブル[[#This Row],[list_item]] &amp; ""</f>
        <v/>
      </c>
      <c r="BM6" s="2" t="str">
        <f>SUBSTITUTE(SUBSTITUTE(SUBSTITUTE(_参照テーブル[[#This Row],[list]], "'", ""),"[", ""), "]", "")</f>
        <v/>
      </c>
      <c r="BN6" s="2" t="e" cm="1">
        <f t="array" ref="BN6">MIN(VALUE(_xlfn.TEXTSPLIT(_参照テーブル[[#This Row],[conv]], ", ")))</f>
        <v>#VALUE!</v>
      </c>
      <c r="BO6" s="2" t="e" cm="1">
        <f t="array" ref="BO6">MAX(VALUE(_xlfn.TEXTSPLIT(_参照テーブル[[#This Row],[conv]], ", ")))</f>
        <v>#VALUE!</v>
      </c>
      <c r="BP6" s="2" t="str">
        <f>IFERROR("("&amp;_参照テーブル[[#This Row],[min]]&amp;"～"&amp;_参照テーブル[[#This Row],[max]]&amp;")","")</f>
        <v/>
      </c>
      <c r="BQ6" s="2">
        <f>変換前のテーブル[[#This Row],[min_max]]</f>
        <v>0</v>
      </c>
      <c r="BR6" s="2" t="str">
        <f>SUBSTITUTE(SUBSTITUTE(_参照テーブル[[#This Row],[list2]],"[",""),"]","")</f>
        <v>0</v>
      </c>
      <c r="BS6" s="2" t="str" cm="1">
        <f t="array" ref="BS6">_xlfn.CHOOSECOLS(_xlfn.TEXTSPLIT(_参照テーブル[[#This Row],[list2_]],","),1)</f>
        <v>0</v>
      </c>
      <c r="BT6" s="2" t="e" cm="1">
        <f t="array" ref="BT6">_xlfn.CHOOSECOLS(_xlfn.TEXTSPLIT(_参照テーブル[[#This Row],[list2_]],","),2)</f>
        <v>#VALUE!</v>
      </c>
      <c r="BU6" s="2" t="str">
        <f>IFERROR("("&amp;_参照テーブル[[#This Row],[min_]]&amp;"～"&amp;_参照テーブル[[#This Row],[max_]]&amp;")", "")</f>
        <v/>
      </c>
    </row>
    <row r="7" spans="1:73" ht="13.2">
      <c r="A7" s="12">
        <f t="shared" si="0"/>
        <v>5</v>
      </c>
      <c r="B7" s="11" t="str">
        <f>SUBSTITUTE(変換前のテーブル[[#This Row],[name]],"：",":")&amp;":"</f>
        <v>町域番地:</v>
      </c>
      <c r="C7" s="11" t="s">
        <v>116</v>
      </c>
      <c r="D7" s="11" t="str">
        <f>"label_"&amp;変換前のテーブル[[#This Row],[index]]&amp;"_"</f>
        <v>label_5_</v>
      </c>
      <c r="E7" s="11" t="str">
        <f>"lineEdit_"&amp;変換前のテーブル[[#This Row],[index]]&amp;"_"</f>
        <v>lineEdit_5_</v>
      </c>
      <c r="F7" s="13" cm="1">
        <f t="array" ref="F7">_xlfn.IFS(ROW()-1=1,-1,ROW()-1=ROWS(変換前のテーブル[index]),1,TRUE,0)</f>
        <v>0</v>
      </c>
      <c r="G7" s="11"/>
      <c r="H7" s="11" t="s">
        <v>57</v>
      </c>
      <c r="I7" s="11" t="s">
        <v>175</v>
      </c>
      <c r="J7" s="11" t="s">
        <v>410</v>
      </c>
      <c r="K7" s="11"/>
      <c r="L7" s="11"/>
      <c r="M7" s="11" t="str">
        <f t="shared" si="1"/>
        <v>frame_1_</v>
      </c>
      <c r="N7" s="11"/>
      <c r="O7" s="11" t="str">
        <f>"frame__"&amp;変換前のテーブル[[#This Row],[index]]&amp;"__"</f>
        <v>frame__5__</v>
      </c>
      <c r="P7" s="11" t="s">
        <v>179</v>
      </c>
      <c r="Q7" s="11"/>
      <c r="R7" s="11" t="str">
        <f>"horizontalLayout__"&amp;変換前のテーブル[[#This Row],[index]]&amp;"__"</f>
        <v>horizontalLayout__5__</v>
      </c>
      <c r="S7" s="11"/>
      <c r="T7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町域番地: </v>
      </c>
      <c r="U7" s="14" t="s">
        <v>27</v>
      </c>
      <c r="V7" s="14" t="s">
        <v>28</v>
      </c>
      <c r="W7" s="11"/>
      <c r="X7" s="11" t="s">
        <v>369</v>
      </c>
      <c r="Y7" s="11"/>
      <c r="Z7" s="11"/>
      <c r="AA7" s="14"/>
      <c r="AB7" s="11"/>
      <c r="AC7" s="11"/>
      <c r="AD7" s="15"/>
      <c r="AE7" s="11"/>
      <c r="BK7" s="2">
        <f t="shared" si="3"/>
        <v>5</v>
      </c>
      <c r="BL7" s="2" t="str">
        <f>変換前のテーブル[[#This Row],[list_item]] &amp; ""</f>
        <v/>
      </c>
      <c r="BM7" s="2" t="str">
        <f>SUBSTITUTE(SUBSTITUTE(SUBSTITUTE(_参照テーブル[[#This Row],[list]], "'", ""),"[", ""), "]", "")</f>
        <v/>
      </c>
      <c r="BN7" s="2" t="e" cm="1">
        <f t="array" ref="BN7">MIN(VALUE(_xlfn.TEXTSPLIT(_参照テーブル[[#This Row],[conv]], ", ")))</f>
        <v>#VALUE!</v>
      </c>
      <c r="BO7" s="2" t="e" cm="1">
        <f t="array" ref="BO7">MAX(VALUE(_xlfn.TEXTSPLIT(_参照テーブル[[#This Row],[conv]], ", ")))</f>
        <v>#VALUE!</v>
      </c>
      <c r="BP7" s="2" t="str">
        <f>IFERROR("("&amp;_参照テーブル[[#This Row],[min]]&amp;"～"&amp;_参照テーブル[[#This Row],[max]]&amp;")","")</f>
        <v/>
      </c>
      <c r="BQ7" s="2">
        <f>変換前のテーブル[[#This Row],[min_max]]</f>
        <v>0</v>
      </c>
      <c r="BR7" s="2" t="str">
        <f>SUBSTITUTE(SUBSTITUTE(_参照テーブル[[#This Row],[list2]],"[",""),"]","")</f>
        <v>0</v>
      </c>
      <c r="BS7" s="2" t="str" cm="1">
        <f t="array" ref="BS7">_xlfn.CHOOSECOLS(_xlfn.TEXTSPLIT(_参照テーブル[[#This Row],[list2_]],","),1)</f>
        <v>0</v>
      </c>
      <c r="BT7" s="2" t="e" cm="1">
        <f t="array" ref="BT7">_xlfn.CHOOSECOLS(_xlfn.TEXTSPLIT(_参照テーブル[[#This Row],[list2_]],","),2)</f>
        <v>#VALUE!</v>
      </c>
      <c r="BU7" s="2" t="str">
        <f>IFERROR("("&amp;_参照テーブル[[#This Row],[min_]]&amp;"～"&amp;_参照テーブル[[#This Row],[max_]]&amp;")", "")</f>
        <v/>
      </c>
    </row>
    <row r="8" spans="1:73" ht="13.2">
      <c r="A8" s="12">
        <f t="shared" si="0"/>
        <v>6</v>
      </c>
      <c r="B8" s="11" t="str">
        <f>SUBSTITUTE(変換前のテーブル[[#This Row],[name]],"：",":")&amp;":"</f>
        <v>建物:</v>
      </c>
      <c r="C8" s="11" t="s">
        <v>10</v>
      </c>
      <c r="D8" s="11" t="str">
        <f>"label_"&amp;変換前のテーブル[[#This Row],[index]]&amp;"_"</f>
        <v>label_6_</v>
      </c>
      <c r="E8" s="11" t="str">
        <f>"lineEdit_"&amp;変換前のテーブル[[#This Row],[index]]&amp;"_"</f>
        <v>lineEdit_6_</v>
      </c>
      <c r="F8" s="13" cm="1">
        <f t="array" ref="F8">_xlfn.IFS(ROW()-1=1,-1,ROW()-1=ROWS(変換前のテーブル[index]),1,TRUE,0)</f>
        <v>0</v>
      </c>
      <c r="G8" s="11"/>
      <c r="H8" s="11" t="s">
        <v>57</v>
      </c>
      <c r="I8" s="11" t="s">
        <v>90</v>
      </c>
      <c r="J8" s="11" t="s">
        <v>410</v>
      </c>
      <c r="K8" s="11"/>
      <c r="L8" s="11"/>
      <c r="M8" s="11" t="str">
        <f t="shared" si="1"/>
        <v>frame_2_</v>
      </c>
      <c r="N8" s="11"/>
      <c r="O8" s="11" t="str">
        <f>"frame__"&amp;変換前のテーブル[[#This Row],[index]]&amp;"__"</f>
        <v>frame__6__</v>
      </c>
      <c r="P8" s="11" t="str">
        <f t="shared" si="2"/>
        <v>horizontalLayout_2_</v>
      </c>
      <c r="Q8" s="11"/>
      <c r="R8" s="11" t="str">
        <f>"horizontalLayout__"&amp;変換前のテーブル[[#This Row],[index]]&amp;"__"</f>
        <v>horizontalLayout__6__</v>
      </c>
      <c r="S8" s="11"/>
      <c r="T8" s="11" t="str">
        <f>_xlfn.LET(
_xlpm._maxlentext, IF(変換前のテーブル[[#This Row],[length]]="", "", " (桁数:" &amp; SUBSTITUTE(SUBSTITUTE(変換前のテーブル[[#This Row],[length]],"[",""),"]","") &amp; ")"),
_xlpm._result, 変換前のテーブル[[#This Row],[name]]&amp;": "&amp;_xlfn.XLOOKUP(変換前のテーブル[[#This Row],[data_type]],_TypeInfo[type],_TypeInfo[info], "") &amp; _参照テーブル[[#This Row],[inli_text]] &amp; _xlpm._maxlentext &amp; _参照テーブル[[#This Row],[min_max]],
_xlpm._result
)</f>
        <v xml:space="preserve">建物: </v>
      </c>
      <c r="U8" s="14" t="s">
        <v>27</v>
      </c>
      <c r="V8" s="14" t="s">
        <v>28</v>
      </c>
      <c r="W8" s="11"/>
      <c r="X8" s="11" t="s">
        <v>370</v>
      </c>
      <c r="Y8" s="11"/>
      <c r="Z8" s="11"/>
      <c r="AA8" s="11"/>
      <c r="AB8" s="11"/>
      <c r="AC8" s="11"/>
      <c r="AD8" s="15"/>
      <c r="AE8" s="11"/>
      <c r="BK8" s="2">
        <f t="shared" si="3"/>
        <v>6</v>
      </c>
      <c r="BL8" s="2" t="str">
        <f>変換前のテーブル[[#This Row],[list_item]] &amp; ""</f>
        <v/>
      </c>
      <c r="BM8" s="2" t="str">
        <f>SUBSTITUTE(SUBSTITUTE(SUBSTITUTE(_参照テーブル[[#This Row],[list]], "'", ""),"[", ""), "]", "")</f>
        <v/>
      </c>
      <c r="BN8" s="2" t="e" cm="1">
        <f t="array" ref="BN8">MIN(VALUE(_xlfn.TEXTSPLIT(_参照テーブル[[#This Row],[conv]], ", ")))</f>
        <v>#VALUE!</v>
      </c>
      <c r="BO8" s="2" t="e" cm="1">
        <f t="array" ref="BO8">MAX(VALUE(_xlfn.TEXTSPLIT(_参照テーブル[[#This Row],[conv]], ", ")))</f>
        <v>#VALUE!</v>
      </c>
      <c r="BP8" s="2" t="str">
        <f>IFERROR("("&amp;_参照テーブル[[#This Row],[min]]&amp;"～"&amp;_参照テーブル[[#This Row],[max]]&amp;")","")</f>
        <v/>
      </c>
      <c r="BQ8" s="2">
        <f>変換前のテーブル[[#This Row],[min_max]]</f>
        <v>0</v>
      </c>
      <c r="BR8" s="2" t="str">
        <f>SUBSTITUTE(SUBSTITUTE(_参照テーブル[[#This Row],[list2]],"[",""),"]","")</f>
        <v>0</v>
      </c>
      <c r="BS8" s="2" t="str" cm="1">
        <f t="array" ref="BS8">_xlfn.CHOOSECOLS(_xlfn.TEXTSPLIT(_参照テーブル[[#This Row],[list2_]],","),1)</f>
        <v>0</v>
      </c>
      <c r="BT8" s="2" t="e" cm="1">
        <f t="array" ref="BT8">_xlfn.CHOOSECOLS(_xlfn.TEXTSPLIT(_参照テーブル[[#This Row],[list2_]],","),2)</f>
        <v>#VALUE!</v>
      </c>
      <c r="BU8" s="2" t="str">
        <f>IFERROR("("&amp;_参照テーブル[[#This Row],[min_]]&amp;"～"&amp;_参照テーブル[[#This Row],[max_]]&amp;")", "")</f>
        <v/>
      </c>
    </row>
    <row r="9" spans="1:73" ht="13.2">
      <c r="A9" s="12">
        <f t="shared" si="0"/>
        <v>7</v>
      </c>
      <c r="B9" s="11" t="str">
        <f>SUBSTITUTE(変換前のテーブル[[#This Row],[name]],"：",":")&amp;":"</f>
        <v>氏名かな:</v>
      </c>
      <c r="C9" s="11" t="s">
        <v>10</v>
      </c>
      <c r="D9" s="11" t="str">
        <f>"label_"&amp;変換前のテーブル[[#This Row],[index]]&amp;"_"</f>
        <v>label_7_</v>
      </c>
      <c r="E9" s="11" t="str">
        <f>"lineEdit_"&amp;変換前のテーブル[[#This Row],[index]]&amp;"_"</f>
        <v>lineEdit_7_</v>
      </c>
      <c r="F9" s="13" cm="1">
        <f t="array" ref="F9">_xlfn.IFS(ROW()-1=1,-1,ROW()-1=ROWS(変換前のテーブル[index]),1,TRUE,0)</f>
        <v>0</v>
      </c>
      <c r="G9" s="11"/>
      <c r="H9" s="11" t="s">
        <v>57</v>
      </c>
      <c r="I9" s="11" t="s">
        <v>90</v>
      </c>
      <c r="J9" s="11"/>
      <c r="K9" s="11"/>
      <c r="L9" s="11"/>
      <c r="M9" s="11" t="str">
        <f t="shared" si="1"/>
        <v>frame_2_</v>
      </c>
      <c r="N9" s="11"/>
      <c r="O9" s="11" t="str">
        <f>"frame__"&amp;変換前のテーブル[[#This Row],[index]]&amp;"__"</f>
        <v>frame__7__</v>
      </c>
      <c r="P9" s="11" t="s">
        <v>203</v>
      </c>
      <c r="Q9" s="11"/>
      <c r="R9" s="11" t="str">
        <f>"horizontalLayout__"&amp;変換前のテーブル[[#This Row],[index]]&amp;"__"</f>
        <v>horizontalLayout__7__</v>
      </c>
      <c r="S9" s="11"/>
      <c r="T9" s="11" t="s">
        <v>423</v>
      </c>
      <c r="U9" s="14" t="s">
        <v>27</v>
      </c>
      <c r="V9" s="14" t="s">
        <v>28</v>
      </c>
      <c r="W9" s="11"/>
      <c r="X9" s="11" t="s">
        <v>371</v>
      </c>
      <c r="Y9" s="11"/>
      <c r="Z9" s="11"/>
      <c r="AA9" s="14" t="s">
        <v>67</v>
      </c>
      <c r="AB9" s="11"/>
      <c r="AC9" s="11"/>
      <c r="AD9" s="15"/>
      <c r="AE9" s="11"/>
      <c r="BK9" s="2">
        <f t="shared" si="3"/>
        <v>7</v>
      </c>
      <c r="BL9" s="2" t="str">
        <f>変換前のテーブル[[#This Row],[list_item]] &amp; ""</f>
        <v/>
      </c>
      <c r="BM9" s="2" t="str">
        <f>SUBSTITUTE(SUBSTITUTE(SUBSTITUTE(_参照テーブル[[#This Row],[list]], "'", ""),"[", ""), "]", "")</f>
        <v/>
      </c>
      <c r="BN9" s="2" t="e" cm="1">
        <f t="array" ref="BN9">MIN(VALUE(_xlfn.TEXTSPLIT(_参照テーブル[[#This Row],[conv]], ", ")))</f>
        <v>#VALUE!</v>
      </c>
      <c r="BO9" s="2" t="e" cm="1">
        <f t="array" ref="BO9">MAX(VALUE(_xlfn.TEXTSPLIT(_参照テーブル[[#This Row],[conv]], ", ")))</f>
        <v>#VALUE!</v>
      </c>
      <c r="BP9" s="2" t="str">
        <f>IFERROR("("&amp;_参照テーブル[[#This Row],[min]]&amp;"～"&amp;_参照テーブル[[#This Row],[max]]&amp;")","")</f>
        <v/>
      </c>
      <c r="BQ9" s="2">
        <f>変換前のテーブル[[#This Row],[min_max]]</f>
        <v>0</v>
      </c>
      <c r="BR9" s="2" t="str">
        <f>SUBSTITUTE(SUBSTITUTE(_参照テーブル[[#This Row],[list2]],"[",""),"]","")</f>
        <v>0</v>
      </c>
      <c r="BS9" s="2" t="str" cm="1">
        <f t="array" ref="BS9">_xlfn.CHOOSECOLS(_xlfn.TEXTSPLIT(_参照テーブル[[#This Row],[list2_]],","),1)</f>
        <v>0</v>
      </c>
      <c r="BT9" s="2" t="e" cm="1">
        <f t="array" ref="BT9">_xlfn.CHOOSECOLS(_xlfn.TEXTSPLIT(_参照テーブル[[#This Row],[list2_]],","),2)</f>
        <v>#VALUE!</v>
      </c>
      <c r="BU9" s="2" t="str">
        <f>IFERROR("("&amp;_参照テーブル[[#This Row],[min_]]&amp;"～"&amp;_参照テーブル[[#This Row],[max_]]&amp;")", "")</f>
        <v/>
      </c>
    </row>
    <row r="10" spans="1:73" ht="13.2">
      <c r="A10" s="12">
        <f t="shared" si="0"/>
        <v>8</v>
      </c>
      <c r="B10" s="11" t="str">
        <f>SUBSTITUTE(変換前のテーブル[[#This Row],[name]],"：",":")&amp;":"</f>
        <v>氏名:</v>
      </c>
      <c r="C10" s="11" t="s">
        <v>10</v>
      </c>
      <c r="D10" s="11" t="str">
        <f>"label_"&amp;変換前のテーブル[[#This Row],[index]]&amp;"_"</f>
        <v>label_8_</v>
      </c>
      <c r="E10" s="11" t="str">
        <f>"lineEdit_"&amp;変換前のテーブル[[#This Row],[index]]&amp;"_"</f>
        <v>lineEdit_8_</v>
      </c>
      <c r="F10" s="13" cm="1">
        <f t="array" ref="F10">_xlfn.IFS(ROW()-1=1,-1,ROW()-1=ROWS(変換前のテーブル[index]),1,TRUE,0)</f>
        <v>0</v>
      </c>
      <c r="G10" s="11"/>
      <c r="H10" s="11" t="s">
        <v>57</v>
      </c>
      <c r="I10" s="11" t="s">
        <v>90</v>
      </c>
      <c r="J10" s="11"/>
      <c r="K10" s="11"/>
      <c r="L10" s="11"/>
      <c r="M10" s="11" t="str">
        <f t="shared" si="1"/>
        <v>frame_2_</v>
      </c>
      <c r="N10" s="11"/>
      <c r="O10" s="11" t="str">
        <f>"frame__"&amp;変換前のテーブル[[#This Row],[index]]&amp;"__"</f>
        <v>frame__8__</v>
      </c>
      <c r="P10" s="11" t="s">
        <v>203</v>
      </c>
      <c r="Q10" s="11"/>
      <c r="R10" s="11" t="str">
        <f>"horizontalLayout__"&amp;変換前のテーブル[[#This Row],[index]]&amp;"__"</f>
        <v>horizontalLayout__8__</v>
      </c>
      <c r="S10" s="11"/>
      <c r="T10" s="11" t="s">
        <v>422</v>
      </c>
      <c r="U10" s="14" t="s">
        <v>27</v>
      </c>
      <c r="V10" s="14" t="s">
        <v>28</v>
      </c>
      <c r="W10" s="11"/>
      <c r="X10" s="11" t="s">
        <v>55</v>
      </c>
      <c r="Y10" s="11"/>
      <c r="Z10" s="11"/>
      <c r="AA10" s="11"/>
      <c r="AB10" s="11"/>
      <c r="AC10" s="11"/>
      <c r="AD10" s="15"/>
      <c r="AE10" s="11"/>
      <c r="BK10" s="2">
        <f t="shared" si="3"/>
        <v>8</v>
      </c>
      <c r="BL10" s="2" t="str">
        <f>変換前のテーブル[[#This Row],[list_item]] &amp; ""</f>
        <v/>
      </c>
      <c r="BM10" s="2" t="str">
        <f>SUBSTITUTE(SUBSTITUTE(SUBSTITUTE(_参照テーブル[[#This Row],[list]], "'", ""),"[", ""), "]", "")</f>
        <v/>
      </c>
      <c r="BN10" s="2" t="e" cm="1">
        <f t="array" ref="BN10">MIN(VALUE(_xlfn.TEXTSPLIT(_参照テーブル[[#This Row],[conv]], ", ")))</f>
        <v>#VALUE!</v>
      </c>
      <c r="BO10" s="2" t="e" cm="1">
        <f t="array" ref="BO10">MAX(VALUE(_xlfn.TEXTSPLIT(_参照テーブル[[#This Row],[conv]], ", ")))</f>
        <v>#VALUE!</v>
      </c>
      <c r="BP10" s="2" t="str">
        <f>IFERROR("("&amp;_参照テーブル[[#This Row],[min]]&amp;"～"&amp;_参照テーブル[[#This Row],[max]]&amp;")","")</f>
        <v/>
      </c>
      <c r="BQ10" s="2">
        <f>変換前のテーブル[[#This Row],[min_max]]</f>
        <v>0</v>
      </c>
      <c r="BR10" s="2" t="str">
        <f>SUBSTITUTE(SUBSTITUTE(_参照テーブル[[#This Row],[list2]],"[",""),"]","")</f>
        <v>0</v>
      </c>
      <c r="BS10" s="2" t="str" cm="1">
        <f t="array" ref="BS10">_xlfn.CHOOSECOLS(_xlfn.TEXTSPLIT(_参照テーブル[[#This Row],[list2_]],","),1)</f>
        <v>0</v>
      </c>
      <c r="BT10" s="2" t="e" cm="1">
        <f t="array" ref="BT10">_xlfn.CHOOSECOLS(_xlfn.TEXTSPLIT(_参照テーブル[[#This Row],[list2_]],","),2)</f>
        <v>#VALUE!</v>
      </c>
      <c r="BU10" s="2" t="str">
        <f>IFERROR("("&amp;_参照テーブル[[#This Row],[min_]]&amp;"～"&amp;_参照テーブル[[#This Row],[max_]]&amp;")", "")</f>
        <v/>
      </c>
    </row>
    <row r="11" spans="1:73" ht="26.4">
      <c r="A11" s="12">
        <f t="shared" si="0"/>
        <v>9</v>
      </c>
      <c r="B11" s="27" t="str">
        <f>SUBSTITUTE(変換前のテーブル[[#This Row],[name]],"：",":")&amp;":"</f>
        <v>電話番号:</v>
      </c>
      <c r="C11" s="11" t="s">
        <v>416</v>
      </c>
      <c r="D11" s="11" t="str">
        <f>"label_"&amp;変換前のテーブル[[#This Row],[index]]&amp;"_"</f>
        <v>label_9_</v>
      </c>
      <c r="E11" s="11" t="str">
        <f>"lineEdit_"&amp;変換前のテーブル[[#This Row],[index]]&amp;"_"</f>
        <v>lineEdit_9_</v>
      </c>
      <c r="F11" s="13" cm="1">
        <f t="array" ref="F11">_xlfn.IFS(ROW()-1=1,-1,ROW()-1=ROWS(変換前のテーブル[index]),1,TRUE,0)</f>
        <v>0</v>
      </c>
      <c r="G11" s="11"/>
      <c r="H11" s="11" t="s">
        <v>12</v>
      </c>
      <c r="I11" s="11" t="s">
        <v>90</v>
      </c>
      <c r="J11" s="11" t="s">
        <v>210</v>
      </c>
      <c r="K11" s="11"/>
      <c r="L11" s="11"/>
      <c r="M11" s="11" t="str">
        <f t="shared" si="1"/>
        <v>frame_3_</v>
      </c>
      <c r="N11" s="11"/>
      <c r="O11" s="11" t="str">
        <f>"frame__"&amp;変換前のテーブル[[#This Row],[index]]&amp;"__"</f>
        <v>frame__9__</v>
      </c>
      <c r="P11" s="11" t="s">
        <v>203</v>
      </c>
      <c r="Q11" s="11"/>
      <c r="R11" s="11" t="str">
        <f>"horizontalLayout__"&amp;変換前のテーブル[[#This Row],[index]]&amp;"__"</f>
        <v>horizontalLayout__9__</v>
      </c>
      <c r="S11" s="11"/>
      <c r="T11" s="11" t="s">
        <v>414</v>
      </c>
      <c r="U11" s="14" t="s">
        <v>27</v>
      </c>
      <c r="V11" s="14" t="s">
        <v>28</v>
      </c>
      <c r="W11" s="11"/>
      <c r="X11" s="11" t="s">
        <v>56</v>
      </c>
      <c r="Y11" s="11"/>
      <c r="Z11" s="11"/>
      <c r="AA11" s="11" t="s">
        <v>67</v>
      </c>
      <c r="AB11" s="11" t="s">
        <v>412</v>
      </c>
      <c r="AC11" s="11"/>
      <c r="AD11" s="15"/>
      <c r="AE11" s="11"/>
      <c r="BK11" s="2">
        <f t="shared" si="3"/>
        <v>9</v>
      </c>
      <c r="BL11" s="2" t="str">
        <f>変換前のテーブル[[#This Row],[list_item]] &amp; ""</f>
        <v/>
      </c>
      <c r="BM11" s="2" t="str">
        <f>SUBSTITUTE(SUBSTITUTE(SUBSTITUTE(_参照テーブル[[#This Row],[list]], "'", ""),"[", ""), "]", "")</f>
        <v/>
      </c>
      <c r="BN11" s="2" t="e" cm="1">
        <f t="array" ref="BN11">MIN(VALUE(_xlfn.TEXTSPLIT(_参照テーブル[[#This Row],[conv]], ", ")))</f>
        <v>#VALUE!</v>
      </c>
      <c r="BO11" s="2" t="e" cm="1">
        <f t="array" ref="BO11">MAX(VALUE(_xlfn.TEXTSPLIT(_参照テーブル[[#This Row],[conv]], ", ")))</f>
        <v>#VALUE!</v>
      </c>
      <c r="BP11" s="2" t="str">
        <f>IFERROR("("&amp;_参照テーブル[[#This Row],[min]]&amp;"～"&amp;_参照テーブル[[#This Row],[max]]&amp;")","")</f>
        <v/>
      </c>
      <c r="BQ11" s="2">
        <f>変換前のテーブル[[#This Row],[min_max]]</f>
        <v>0</v>
      </c>
      <c r="BR11" s="2" t="str">
        <f>SUBSTITUTE(SUBSTITUTE(_参照テーブル[[#This Row],[list2]],"[",""),"]","")</f>
        <v>0</v>
      </c>
      <c r="BS11" s="2" t="str" cm="1">
        <f t="array" ref="BS11">_xlfn.CHOOSECOLS(_xlfn.TEXTSPLIT(_参照テーブル[[#This Row],[list2_]],","),1)</f>
        <v>0</v>
      </c>
      <c r="BT11" s="2" t="e" cm="1">
        <f t="array" ref="BT11">_xlfn.CHOOSECOLS(_xlfn.TEXTSPLIT(_参照テーブル[[#This Row],[list2_]],","),2)</f>
        <v>#VALUE!</v>
      </c>
      <c r="BU11" s="2" t="str">
        <f>IFERROR("("&amp;_参照テーブル[[#This Row],[min_]]&amp;"～"&amp;_参照テーブル[[#This Row],[max_]]&amp;")", "")</f>
        <v/>
      </c>
    </row>
    <row r="12" spans="1:73" ht="13.2">
      <c r="A12" s="12">
        <f t="shared" si="0"/>
        <v>10</v>
      </c>
      <c r="B12" s="11" t="str">
        <f>SUBSTITUTE(変換前のテーブル[[#This Row],[name]],"：",":")&amp;":"</f>
        <v>防災カルタ:</v>
      </c>
      <c r="C12" s="11" t="s">
        <v>244</v>
      </c>
      <c r="D12" s="11" t="str">
        <f>"label_"&amp;変換前のテーブル[[#This Row],[index]]&amp;"_"</f>
        <v>label_10_</v>
      </c>
      <c r="E12" s="11" t="str">
        <f>"lineEdit_"&amp;変換前のテーブル[[#This Row],[index]]&amp;"_"</f>
        <v>lineEdit_10_</v>
      </c>
      <c r="F12" s="13" cm="1">
        <f t="array" ref="F12">_xlfn.IFS(ROW()-1=1,-1,ROW()-1=ROWS(変換前のテーブル[index]),1,TRUE,0)</f>
        <v>0</v>
      </c>
      <c r="G12" s="11"/>
      <c r="H12" s="11" t="s">
        <v>12</v>
      </c>
      <c r="I12" s="11" t="s">
        <v>90</v>
      </c>
      <c r="J12" s="11" t="s">
        <v>210</v>
      </c>
      <c r="K12" s="11"/>
      <c r="L12" s="11"/>
      <c r="M12" s="11" t="str">
        <f t="shared" si="1"/>
        <v>frame_3_</v>
      </c>
      <c r="N12" s="11"/>
      <c r="O12" s="11" t="str">
        <f>"frame__"&amp;変換前のテーブル[[#This Row],[index]]&amp;"__"</f>
        <v>frame__10__</v>
      </c>
      <c r="P12" s="11" t="s">
        <v>203</v>
      </c>
      <c r="Q12" s="11"/>
      <c r="R12" s="11" t="str">
        <f>"horizontalLayout__"&amp;変換前のテーブル[[#This Row],[index]]&amp;"__"</f>
        <v>horizontalLayout__10__</v>
      </c>
      <c r="S12" s="11"/>
      <c r="T12" s="11" t="s">
        <v>409</v>
      </c>
      <c r="U12" s="14" t="s">
        <v>27</v>
      </c>
      <c r="V12" s="14" t="s">
        <v>28</v>
      </c>
      <c r="W12" s="11"/>
      <c r="X12" s="11" t="s">
        <v>372</v>
      </c>
      <c r="Y12" s="11"/>
      <c r="Z12" s="11"/>
      <c r="AA12" s="11"/>
      <c r="AB12" s="11"/>
      <c r="AC12" s="11"/>
      <c r="AD12" s="15"/>
      <c r="AE12" s="11"/>
      <c r="BK12" s="2">
        <f t="shared" si="3"/>
        <v>10</v>
      </c>
      <c r="BL12" s="2" t="str">
        <f>変換前のテーブル[[#This Row],[list_item]] &amp; ""</f>
        <v/>
      </c>
      <c r="BM12" s="2" t="str">
        <f>SUBSTITUTE(SUBSTITUTE(SUBSTITUTE(_参照テーブル[[#This Row],[list]], "'", ""),"[", ""), "]", "")</f>
        <v/>
      </c>
      <c r="BN12" s="2" t="e" cm="1">
        <f t="array" ref="BN12">MIN(VALUE(_xlfn.TEXTSPLIT(_参照テーブル[[#This Row],[conv]], ", ")))</f>
        <v>#VALUE!</v>
      </c>
      <c r="BO12" s="2" t="e" cm="1">
        <f t="array" ref="BO12">MAX(VALUE(_xlfn.TEXTSPLIT(_参照テーブル[[#This Row],[conv]], ", ")))</f>
        <v>#VALUE!</v>
      </c>
      <c r="BP12" s="2" t="str">
        <f>IFERROR("("&amp;_参照テーブル[[#This Row],[min]]&amp;"～"&amp;_参照テーブル[[#This Row],[max]]&amp;")","")</f>
        <v/>
      </c>
      <c r="BQ12" s="2">
        <f>変換前のテーブル[[#This Row],[min_max]]</f>
        <v>0</v>
      </c>
      <c r="BR12" s="2" t="str">
        <f>SUBSTITUTE(SUBSTITUTE(_参照テーブル[[#This Row],[list2]],"[",""),"]","")</f>
        <v>0</v>
      </c>
      <c r="BS12" s="2" t="str" cm="1">
        <f t="array" ref="BS12">_xlfn.CHOOSECOLS(_xlfn.TEXTSPLIT(_参照テーブル[[#This Row],[list2_]],","),1)</f>
        <v>0</v>
      </c>
      <c r="BT12" s="2" t="e" cm="1">
        <f t="array" ref="BT12">_xlfn.CHOOSECOLS(_xlfn.TEXTSPLIT(_参照テーブル[[#This Row],[list2_]],","),2)</f>
        <v>#VALUE!</v>
      </c>
      <c r="BU12" s="2" t="str">
        <f>IFERROR("("&amp;_参照テーブル[[#This Row],[min_]]&amp;"～"&amp;_参照テーブル[[#This Row],[max_]]&amp;")", "")</f>
        <v/>
      </c>
    </row>
    <row r="13" spans="1:73" ht="13.2">
      <c r="A13" s="12">
        <f t="shared" si="0"/>
        <v>11</v>
      </c>
      <c r="B13" s="11" t="str">
        <f>SUBSTITUTE(変換前のテーブル[[#This Row],[name]],"：",":")&amp;":"</f>
        <v>404:薬剤式トイレ:</v>
      </c>
      <c r="C13" s="11" t="s">
        <v>244</v>
      </c>
      <c r="D13" s="11" t="str">
        <f>"label_"&amp;変換前のテーブル[[#This Row],[index]]&amp;"_"</f>
        <v>label_11_</v>
      </c>
      <c r="E13" s="11" t="str">
        <f>"lineEdit_"&amp;変換前のテーブル[[#This Row],[index]]&amp;"_"</f>
        <v>lineEdit_11_</v>
      </c>
      <c r="F13" s="13" cm="1">
        <f t="array" ref="F13">_xlfn.IFS(ROW()-1=1,-1,ROW()-1=ROWS(変換前のテーブル[index]),1,TRUE,0)</f>
        <v>0</v>
      </c>
      <c r="G13" s="11"/>
      <c r="H13" s="11" t="s">
        <v>12</v>
      </c>
      <c r="I13" s="11" t="s">
        <v>90</v>
      </c>
      <c r="J13" s="11" t="s">
        <v>210</v>
      </c>
      <c r="K13" s="11"/>
      <c r="L13" s="11"/>
      <c r="M13" s="11" t="str">
        <f t="shared" si="1"/>
        <v>frame_3_</v>
      </c>
      <c r="N13" s="11"/>
      <c r="O13" s="11" t="str">
        <f>"frame__"&amp;変換前のテーブル[[#This Row],[index]]&amp;"__"</f>
        <v>frame__11__</v>
      </c>
      <c r="P13" s="11" t="s">
        <v>229</v>
      </c>
      <c r="Q13" s="11"/>
      <c r="R13" s="11" t="str">
        <f>"horizontalLayout__"&amp;変換前のテーブル[[#This Row],[index]]&amp;"__"</f>
        <v>horizontalLayout__11__</v>
      </c>
      <c r="S13" s="11"/>
      <c r="T13" s="11" t="s">
        <v>417</v>
      </c>
      <c r="U13" s="14" t="s">
        <v>27</v>
      </c>
      <c r="V13" s="14" t="s">
        <v>28</v>
      </c>
      <c r="W13" s="11"/>
      <c r="X13" s="11" t="s">
        <v>373</v>
      </c>
      <c r="Y13" s="11"/>
      <c r="Z13" s="11"/>
      <c r="AA13" s="11" t="s">
        <v>67</v>
      </c>
      <c r="AB13" s="11"/>
      <c r="AC13" s="11"/>
      <c r="AD13" s="15"/>
      <c r="AE13" s="11"/>
      <c r="BK13" s="2">
        <f t="shared" si="3"/>
        <v>11</v>
      </c>
      <c r="BL13" s="2" t="str">
        <f>変換前のテーブル[[#This Row],[list_item]] &amp; ""</f>
        <v/>
      </c>
      <c r="BM13" s="2" t="str">
        <f>SUBSTITUTE(SUBSTITUTE(SUBSTITUTE(_参照テーブル[[#This Row],[list]], "'", ""),"[", ""), "]", "")</f>
        <v/>
      </c>
      <c r="BN13" s="2" t="e" cm="1">
        <f t="array" ref="BN13">MIN(VALUE(_xlfn.TEXTSPLIT(_参照テーブル[[#This Row],[conv]], ", ")))</f>
        <v>#VALUE!</v>
      </c>
      <c r="BO13" s="2" t="e" cm="1">
        <f t="array" ref="BO13">MAX(VALUE(_xlfn.TEXTSPLIT(_参照テーブル[[#This Row],[conv]], ", ")))</f>
        <v>#VALUE!</v>
      </c>
      <c r="BP13" s="2" t="str">
        <f>IFERROR("("&amp;_参照テーブル[[#This Row],[min]]&amp;"～"&amp;_参照テーブル[[#This Row],[max]]&amp;")","")</f>
        <v/>
      </c>
      <c r="BQ13" s="2">
        <f>変換前のテーブル[[#This Row],[min_max]]</f>
        <v>0</v>
      </c>
      <c r="BR13" s="2" t="str">
        <f>SUBSTITUTE(SUBSTITUTE(_参照テーブル[[#This Row],[list2]],"[",""),"]","")</f>
        <v>0</v>
      </c>
      <c r="BS13" s="2" t="str" cm="1">
        <f t="array" ref="BS13">_xlfn.CHOOSECOLS(_xlfn.TEXTSPLIT(_参照テーブル[[#This Row],[list2_]],","),1)</f>
        <v>0</v>
      </c>
      <c r="BT13" s="2" t="e" cm="1">
        <f t="array" ref="BT13">_xlfn.CHOOSECOLS(_xlfn.TEXTSPLIT(_参照テーブル[[#This Row],[list2_]],","),2)</f>
        <v>#VALUE!</v>
      </c>
      <c r="BU13" s="2" t="str">
        <f>IFERROR("("&amp;_参照テーブル[[#This Row],[min_]]&amp;"～"&amp;_参照テーブル[[#This Row],[max_]]&amp;")", "")</f>
        <v/>
      </c>
    </row>
    <row r="14" spans="1:73" ht="13.2">
      <c r="A14" s="12">
        <f t="shared" si="0"/>
        <v>12</v>
      </c>
      <c r="B14" s="11" t="str">
        <f>SUBSTITUTE(変換前のテーブル[[#This Row],[name]],"：",":")&amp;":"</f>
        <v>225:備蓄ランタン:</v>
      </c>
      <c r="C14" s="11" t="s">
        <v>244</v>
      </c>
      <c r="D14" s="11" t="str">
        <f>"label_"&amp;変換前のテーブル[[#This Row],[index]]&amp;"_"</f>
        <v>label_12_</v>
      </c>
      <c r="E14" s="11" t="str">
        <f>"lineEdit_"&amp;変換前のテーブル[[#This Row],[index]]&amp;"_"</f>
        <v>lineEdit_12_</v>
      </c>
      <c r="F14" s="13" cm="1">
        <f t="array" ref="F14">_xlfn.IFS(ROW()-1=1,-1,ROW()-1=ROWS(変換前のテーブル[index]),1,TRUE,0)</f>
        <v>0</v>
      </c>
      <c r="G14" s="11"/>
      <c r="H14" s="11" t="s">
        <v>12</v>
      </c>
      <c r="I14" s="11" t="s">
        <v>90</v>
      </c>
      <c r="J14" s="11" t="s">
        <v>210</v>
      </c>
      <c r="K14" s="11"/>
      <c r="L14" s="11"/>
      <c r="M14" s="11" t="str">
        <f t="shared" si="1"/>
        <v>frame_4_</v>
      </c>
      <c r="N14" s="11"/>
      <c r="O14" s="11" t="str">
        <f>"frame__"&amp;変換前のテーブル[[#This Row],[index]]&amp;"__"</f>
        <v>frame__12__</v>
      </c>
      <c r="P14" s="11" t="s">
        <v>229</v>
      </c>
      <c r="Q14" s="11"/>
      <c r="R14" s="11" t="str">
        <f>"horizontalLayout__"&amp;変換前のテーブル[[#This Row],[index]]&amp;"__"</f>
        <v>horizontalLayout__12__</v>
      </c>
      <c r="S14" s="11"/>
      <c r="T14" s="11" t="s">
        <v>418</v>
      </c>
      <c r="U14" s="14" t="s">
        <v>27</v>
      </c>
      <c r="V14" s="14" t="s">
        <v>28</v>
      </c>
      <c r="W14" s="11"/>
      <c r="X14" s="11" t="s">
        <v>374</v>
      </c>
      <c r="Y14" s="11"/>
      <c r="Z14" s="11"/>
      <c r="AA14" s="11"/>
      <c r="AB14" s="11"/>
      <c r="AC14" s="11"/>
      <c r="AD14" s="15"/>
      <c r="AE14" s="11"/>
      <c r="BK14" s="2">
        <f t="shared" si="3"/>
        <v>12</v>
      </c>
      <c r="BL14" s="2" t="str">
        <f>変換前のテーブル[[#This Row],[list_item]] &amp; ""</f>
        <v/>
      </c>
      <c r="BM14" s="2" t="str">
        <f>SUBSTITUTE(SUBSTITUTE(SUBSTITUTE(_参照テーブル[[#This Row],[list]], "'", ""),"[", ""), "]", "")</f>
        <v/>
      </c>
      <c r="BN14" s="2" t="e" cm="1">
        <f t="array" ref="BN14">MIN(VALUE(_xlfn.TEXTSPLIT(_参照テーブル[[#This Row],[conv]], ", ")))</f>
        <v>#VALUE!</v>
      </c>
      <c r="BO14" s="2" t="e" cm="1">
        <f t="array" ref="BO14">MAX(VALUE(_xlfn.TEXTSPLIT(_参照テーブル[[#This Row],[conv]], ", ")))</f>
        <v>#VALUE!</v>
      </c>
      <c r="BP14" s="2" t="str">
        <f>IFERROR("("&amp;_参照テーブル[[#This Row],[min]]&amp;"～"&amp;_参照テーブル[[#This Row],[max]]&amp;")","")</f>
        <v/>
      </c>
      <c r="BQ14" s="2">
        <f>変換前のテーブル[[#This Row],[min_max]]</f>
        <v>0</v>
      </c>
      <c r="BR14" s="2" t="str">
        <f>SUBSTITUTE(SUBSTITUTE(_参照テーブル[[#This Row],[list2]],"[",""),"]","")</f>
        <v>0</v>
      </c>
      <c r="BS14" s="2" t="str" cm="1">
        <f t="array" ref="BS14">_xlfn.CHOOSECOLS(_xlfn.TEXTSPLIT(_参照テーブル[[#This Row],[list2_]],","),1)</f>
        <v>0</v>
      </c>
      <c r="BT14" s="2" t="e" cm="1">
        <f t="array" ref="BT14">_xlfn.CHOOSECOLS(_xlfn.TEXTSPLIT(_参照テーブル[[#This Row],[list2_]],","),2)</f>
        <v>#VALUE!</v>
      </c>
      <c r="BU14" s="2" t="str">
        <f>IFERROR("("&amp;_参照テーブル[[#This Row],[min_]]&amp;"～"&amp;_参照テーブル[[#This Row],[max_]]&amp;")", "")</f>
        <v/>
      </c>
    </row>
    <row r="15" spans="1:73" ht="13.2">
      <c r="A15" s="12">
        <f t="shared" si="0"/>
        <v>13</v>
      </c>
      <c r="B15" s="11" t="str">
        <f>SUBSTITUTE(変換前のテーブル[[#This Row],[name]],"：",":")&amp;":"</f>
        <v>512:彩り主食:</v>
      </c>
      <c r="C15" s="11" t="s">
        <v>244</v>
      </c>
      <c r="D15" s="11" t="str">
        <f>"label_"&amp;変換前のテーブル[[#This Row],[index]]&amp;"_"</f>
        <v>label_13_</v>
      </c>
      <c r="E15" s="11" t="str">
        <f>"lineEdit_"&amp;変換前のテーブル[[#This Row],[index]]&amp;"_"</f>
        <v>lineEdit_13_</v>
      </c>
      <c r="F15" s="13" cm="1">
        <f t="array" ref="F15">_xlfn.IFS(ROW()-1=1,-1,ROW()-1=ROWS(変換前のテーブル[index]),1,TRUE,0)</f>
        <v>0</v>
      </c>
      <c r="G15" s="11"/>
      <c r="H15" s="11" t="s">
        <v>12</v>
      </c>
      <c r="I15" s="11" t="s">
        <v>90</v>
      </c>
      <c r="J15" s="11" t="s">
        <v>210</v>
      </c>
      <c r="K15" s="11"/>
      <c r="L15" s="11"/>
      <c r="M15" s="11" t="str">
        <f t="shared" si="1"/>
        <v>frame_4_</v>
      </c>
      <c r="N15" s="11"/>
      <c r="O15" s="11" t="str">
        <f>"frame__"&amp;変換前のテーブル[[#This Row],[index]]&amp;"__"</f>
        <v>frame__13__</v>
      </c>
      <c r="P15" s="11" t="s">
        <v>229</v>
      </c>
      <c r="Q15" s="11"/>
      <c r="R15" s="11" t="str">
        <f>"horizontalLayout__"&amp;変換前のテーブル[[#This Row],[index]]&amp;"__"</f>
        <v>horizontalLayout__13__</v>
      </c>
      <c r="S15" s="11"/>
      <c r="T15" s="11" t="s">
        <v>419</v>
      </c>
      <c r="U15" s="14" t="s">
        <v>27</v>
      </c>
      <c r="V15" s="14" t="s">
        <v>28</v>
      </c>
      <c r="W15" s="11"/>
      <c r="X15" s="11" t="s">
        <v>375</v>
      </c>
      <c r="Y15" s="11"/>
      <c r="Z15" s="11"/>
      <c r="AA15" s="11"/>
      <c r="AB15" s="11"/>
      <c r="AC15" s="11"/>
      <c r="AD15" s="15"/>
      <c r="AE15" s="11"/>
      <c r="BK15" s="2">
        <f t="shared" si="3"/>
        <v>13</v>
      </c>
      <c r="BL15" s="2" t="str">
        <f>変換前のテーブル[[#This Row],[list_item]] &amp; ""</f>
        <v/>
      </c>
      <c r="BM15" s="2" t="str">
        <f>SUBSTITUTE(SUBSTITUTE(SUBSTITUTE(_参照テーブル[[#This Row],[list]], "'", ""),"[", ""), "]", "")</f>
        <v/>
      </c>
      <c r="BN15" s="2" t="e" cm="1">
        <f t="array" ref="BN15">MIN(VALUE(_xlfn.TEXTSPLIT(_参照テーブル[[#This Row],[conv]], ", ")))</f>
        <v>#VALUE!</v>
      </c>
      <c r="BO15" s="2" t="e" cm="1">
        <f t="array" ref="BO15">MAX(VALUE(_xlfn.TEXTSPLIT(_参照テーブル[[#This Row],[conv]], ", ")))</f>
        <v>#VALUE!</v>
      </c>
      <c r="BP15" s="2" t="str">
        <f>IFERROR("("&amp;_参照テーブル[[#This Row],[min]]&amp;"～"&amp;_参照テーブル[[#This Row],[max]]&amp;")","")</f>
        <v/>
      </c>
      <c r="BQ15" s="2">
        <f>変換前のテーブル[[#This Row],[min_max]]</f>
        <v>0</v>
      </c>
      <c r="BR15" s="2" t="str">
        <f>SUBSTITUTE(SUBSTITUTE(_参照テーブル[[#This Row],[list2]],"[",""),"]","")</f>
        <v>0</v>
      </c>
      <c r="BS15" s="2" t="str" cm="1">
        <f t="array" ref="BS15">_xlfn.CHOOSECOLS(_xlfn.TEXTSPLIT(_参照テーブル[[#This Row],[list2_]],","),1)</f>
        <v>0</v>
      </c>
      <c r="BT15" s="2" t="e" cm="1">
        <f t="array" ref="BT15">_xlfn.CHOOSECOLS(_xlfn.TEXTSPLIT(_参照テーブル[[#This Row],[list2_]],","),2)</f>
        <v>#VALUE!</v>
      </c>
      <c r="BU15" s="2" t="str">
        <f>IFERROR("("&amp;_参照テーブル[[#This Row],[min_]]&amp;"～"&amp;_参照テーブル[[#This Row],[max_]]&amp;")", "")</f>
        <v/>
      </c>
    </row>
    <row r="16" spans="1:73" ht="26.4">
      <c r="A16" s="16">
        <f>ROW()-2</f>
        <v>14</v>
      </c>
      <c r="B16" s="17" t="str">
        <f>SUBSTITUTE(変換前のテーブル[[#This Row],[name]],"：",":")&amp;":"</f>
        <v>411&amp;415:全身きれい:</v>
      </c>
      <c r="C16" s="11" t="s">
        <v>244</v>
      </c>
      <c r="D16" s="17" t="str">
        <f>"label_"&amp;変換前のテーブル[[#This Row],[index]]&amp;"_"</f>
        <v>label_14_</v>
      </c>
      <c r="E16" s="17" t="str">
        <f>"lineEdit_"&amp;変換前のテーブル[[#This Row],[index]]&amp;"_"</f>
        <v>lineEdit_14_</v>
      </c>
      <c r="F16" s="18" cm="1">
        <f t="array" ref="F16">_xlfn.IFS(ROW()-1=1,-1,ROW()-1=ROWS(変換前のテーブル[index]),1,TRUE,0)</f>
        <v>1</v>
      </c>
      <c r="G16" s="17"/>
      <c r="H16" s="17" t="s">
        <v>12</v>
      </c>
      <c r="I16" s="17" t="s">
        <v>90</v>
      </c>
      <c r="J16" s="17" t="s">
        <v>210</v>
      </c>
      <c r="K16" s="17"/>
      <c r="L16" s="17"/>
      <c r="M16" s="17" t="str">
        <f>"frame_"&amp;INT((ROW()-2) / 3)&amp;"_"</f>
        <v>frame_4_</v>
      </c>
      <c r="N16" s="17"/>
      <c r="O16" s="17" t="str">
        <f>"frame__"&amp;変換前のテーブル[[#This Row],[index]]&amp;"__"</f>
        <v>frame__14__</v>
      </c>
      <c r="P16" s="11" t="s">
        <v>229</v>
      </c>
      <c r="Q16" s="17"/>
      <c r="R16" s="17" t="str">
        <f>"horizontalLayout__"&amp;変換前のテーブル[[#This Row],[index]]&amp;"__"</f>
        <v>horizontalLayout__14__</v>
      </c>
      <c r="S16" s="17"/>
      <c r="T16" s="11" t="s">
        <v>421</v>
      </c>
      <c r="U16" s="19" t="s">
        <v>27</v>
      </c>
      <c r="V16" s="19" t="s">
        <v>28</v>
      </c>
      <c r="W16" s="17"/>
      <c r="X16" s="17" t="s">
        <v>420</v>
      </c>
      <c r="Y16" s="17"/>
      <c r="Z16" s="17"/>
      <c r="AA16" s="17"/>
      <c r="AB16" s="17"/>
      <c r="AC16" s="17"/>
      <c r="AD16" s="20"/>
      <c r="AE16" s="17"/>
      <c r="BK16" s="2">
        <f t="shared" si="3"/>
        <v>14</v>
      </c>
      <c r="BL16" s="2" t="str">
        <f>変換前のテーブル[[#This Row],[list_item]] &amp; ""</f>
        <v/>
      </c>
      <c r="BM16" s="2" t="str">
        <f>SUBSTITUTE(SUBSTITUTE(SUBSTITUTE(_参照テーブル[[#This Row],[list]], "'", ""),"[", ""), "]", "")</f>
        <v/>
      </c>
      <c r="BN16" s="2" t="e" cm="1">
        <f t="array" ref="BN16">MIN(VALUE(_xlfn.TEXTSPLIT(_参照テーブル[[#This Row],[conv]], ", ")))</f>
        <v>#VALUE!</v>
      </c>
      <c r="BO16" s="2" t="e" cm="1">
        <f t="array" ref="BO16">MAX(VALUE(_xlfn.TEXTSPLIT(_参照テーブル[[#This Row],[conv]], ", ")))</f>
        <v>#VALUE!</v>
      </c>
      <c r="BP16" s="2" t="str">
        <f>IFERROR("("&amp;_参照テーブル[[#This Row],[min]]&amp;"～"&amp;_参照テーブル[[#This Row],[max]]&amp;")","")</f>
        <v/>
      </c>
      <c r="BQ16" s="2">
        <f>変換前のテーブル[[#This Row],[min_max]]</f>
        <v>0</v>
      </c>
      <c r="BR16" s="2" t="str">
        <f>SUBSTITUTE(SUBSTITUTE(_参照テーブル[[#This Row],[list2]],"[",""),"]","")</f>
        <v>0</v>
      </c>
      <c r="BS16" s="2" t="str" cm="1">
        <f t="array" ref="BS16">_xlfn.CHOOSECOLS(_xlfn.TEXTSPLIT(_参照テーブル[[#This Row],[list2_]],","),1)</f>
        <v>0</v>
      </c>
      <c r="BT16" s="2" t="e" cm="1">
        <f t="array" ref="BT16">_xlfn.CHOOSECOLS(_xlfn.TEXTSPLIT(_参照テーブル[[#This Row],[list2_]],","),2)</f>
        <v>#VALUE!</v>
      </c>
      <c r="BU16" s="2" t="str">
        <f>IFERROR("("&amp;_参照テーブル[[#This Row],[min_]]&amp;"～"&amp;_参照テーブル[[#This Row],[max_]]&amp;")", "")</f>
        <v/>
      </c>
    </row>
    <row r="17" spans="63:73">
      <c r="BK17" s="2">
        <f t="shared" si="3"/>
        <v>15</v>
      </c>
      <c r="BL17" s="2" t="e">
        <f>変換前のテーブル[[#This Row],[list_item]] &amp; ""</f>
        <v>#VALUE!</v>
      </c>
      <c r="BM17" s="2" t="e">
        <f>SUBSTITUTE(SUBSTITUTE(SUBSTITUTE(_参照テーブル[[#This Row],[list]], "'", ""),"[", ""), "]", "")</f>
        <v>#VALUE!</v>
      </c>
      <c r="BN17" s="2" t="e" cm="1">
        <f t="array" ref="BN17">MIN(VALUE(_xlfn.TEXTSPLIT(_参照テーブル[[#This Row],[conv]], ", ")))</f>
        <v>#VALUE!</v>
      </c>
      <c r="BO17" s="2" t="e" cm="1">
        <f t="array" ref="BO17">MAX(VALUE(_xlfn.TEXTSPLIT(_参照テーブル[[#This Row],[conv]], ", ")))</f>
        <v>#VALUE!</v>
      </c>
      <c r="BP17" s="2" t="str">
        <f>IFERROR("("&amp;_参照テーブル[[#This Row],[min]]&amp;"～"&amp;_参照テーブル[[#This Row],[max]]&amp;")","")</f>
        <v/>
      </c>
      <c r="BQ17" s="2" t="e">
        <f>変換前のテーブル[[#This Row],[min_max]]</f>
        <v>#VALUE!</v>
      </c>
      <c r="BR17" s="2" t="e">
        <f>SUBSTITUTE(SUBSTITUTE(_参照テーブル[[#This Row],[list2]],"[",""),"]","")</f>
        <v>#VALUE!</v>
      </c>
      <c r="BS17" s="2" t="e" cm="1">
        <f t="array" ref="BS17">_xlfn.CHOOSECOLS(_xlfn.TEXTSPLIT(_参照テーブル[[#This Row],[list2_]],","),1)</f>
        <v>#VALUE!</v>
      </c>
      <c r="BT17" s="2" t="e" cm="1">
        <f t="array" ref="BT17">_xlfn.CHOOSECOLS(_xlfn.TEXTSPLIT(_参照テーブル[[#This Row],[list2_]],","),2)</f>
        <v>#VALUE!</v>
      </c>
      <c r="BU17" s="2" t="str">
        <f>IFERROR("("&amp;_参照テーブル[[#This Row],[min_]]&amp;"～"&amp;_参照テーブル[[#This Row],[max_]]&amp;")", "")</f>
        <v/>
      </c>
    </row>
    <row r="18" spans="63:73">
      <c r="BK18" s="2">
        <f t="shared" si="3"/>
        <v>16</v>
      </c>
      <c r="BL18" s="2" t="e">
        <f>変換前のテーブル[[#This Row],[list_item]] &amp; ""</f>
        <v>#VALUE!</v>
      </c>
      <c r="BM18" s="2" t="e">
        <f>SUBSTITUTE(SUBSTITUTE(SUBSTITUTE(_参照テーブル[[#This Row],[list]], "'", ""),"[", ""), "]", "")</f>
        <v>#VALUE!</v>
      </c>
      <c r="BN18" s="2" t="e" cm="1">
        <f t="array" ref="BN18">MIN(VALUE(_xlfn.TEXTSPLIT(_参照テーブル[[#This Row],[conv]], ", ")))</f>
        <v>#VALUE!</v>
      </c>
      <c r="BO18" s="2" t="e" cm="1">
        <f t="array" ref="BO18">MAX(VALUE(_xlfn.TEXTSPLIT(_参照テーブル[[#This Row],[conv]], ", ")))</f>
        <v>#VALUE!</v>
      </c>
      <c r="BP18" s="2" t="str">
        <f>IFERROR("("&amp;_参照テーブル[[#This Row],[min]]&amp;"～"&amp;_参照テーブル[[#This Row],[max]]&amp;")","")</f>
        <v/>
      </c>
      <c r="BQ18" s="2" t="e">
        <f>変換前のテーブル[[#This Row],[min_max]]</f>
        <v>#VALUE!</v>
      </c>
      <c r="BR18" s="2" t="e">
        <f>SUBSTITUTE(SUBSTITUTE(_参照テーブル[[#This Row],[list2]],"[",""),"]","")</f>
        <v>#VALUE!</v>
      </c>
      <c r="BS18" s="2" t="e" cm="1">
        <f t="array" ref="BS18">_xlfn.CHOOSECOLS(_xlfn.TEXTSPLIT(_参照テーブル[[#This Row],[list2_]],","),1)</f>
        <v>#VALUE!</v>
      </c>
      <c r="BT18" s="2" t="e" cm="1">
        <f t="array" ref="BT18">_xlfn.CHOOSECOLS(_xlfn.TEXTSPLIT(_参照テーブル[[#This Row],[list2_]],","),2)</f>
        <v>#VALUE!</v>
      </c>
      <c r="BU18" s="2" t="str">
        <f>IFERROR("("&amp;_参照テーブル[[#This Row],[min_]]&amp;"～"&amp;_参照テーブル[[#This Row],[max_]]&amp;")", "")</f>
        <v/>
      </c>
    </row>
    <row r="19" spans="63:73">
      <c r="BK19" s="2">
        <f t="shared" si="3"/>
        <v>17</v>
      </c>
      <c r="BL19" s="2" t="e">
        <f>変換前のテーブル[[#This Row],[list_item]] &amp; ""</f>
        <v>#VALUE!</v>
      </c>
      <c r="BM19" s="2" t="e">
        <f>SUBSTITUTE(SUBSTITUTE(SUBSTITUTE(_参照テーブル[[#This Row],[list]], "'", ""),"[", ""), "]", "")</f>
        <v>#VALUE!</v>
      </c>
      <c r="BN19" s="2" t="e" cm="1">
        <f t="array" ref="BN19">MIN(VALUE(_xlfn.TEXTSPLIT(_参照テーブル[[#This Row],[conv]], ", ")))</f>
        <v>#VALUE!</v>
      </c>
      <c r="BO19" s="2" t="e" cm="1">
        <f t="array" ref="BO19">MAX(VALUE(_xlfn.TEXTSPLIT(_参照テーブル[[#This Row],[conv]], ", ")))</f>
        <v>#VALUE!</v>
      </c>
      <c r="BP19" s="2" t="str">
        <f>IFERROR("("&amp;_参照テーブル[[#This Row],[min]]&amp;"～"&amp;_参照テーブル[[#This Row],[max]]&amp;")","")</f>
        <v/>
      </c>
      <c r="BQ19" s="2" t="e">
        <f>変換前のテーブル[[#This Row],[min_max]]</f>
        <v>#VALUE!</v>
      </c>
      <c r="BR19" s="2" t="e">
        <f>SUBSTITUTE(SUBSTITUTE(_参照テーブル[[#This Row],[list2]],"[",""),"]","")</f>
        <v>#VALUE!</v>
      </c>
      <c r="BS19" s="2" t="e" cm="1">
        <f t="array" ref="BS19">_xlfn.CHOOSECOLS(_xlfn.TEXTSPLIT(_参照テーブル[[#This Row],[list2_]],","),1)</f>
        <v>#VALUE!</v>
      </c>
      <c r="BT19" s="2" t="e" cm="1">
        <f t="array" ref="BT19">_xlfn.CHOOSECOLS(_xlfn.TEXTSPLIT(_参照テーブル[[#This Row],[list2_]],","),2)</f>
        <v>#VALUE!</v>
      </c>
      <c r="BU19" s="2" t="str">
        <f>IFERROR("("&amp;_参照テーブル[[#This Row],[min_]]&amp;"～"&amp;_参照テーブル[[#This Row],[max_]]&amp;")", "")</f>
        <v/>
      </c>
    </row>
    <row r="20" spans="63:73">
      <c r="BK20" s="2">
        <f t="shared" si="3"/>
        <v>18</v>
      </c>
      <c r="BL20" s="2" t="e">
        <f>変換前のテーブル[[#This Row],[list_item]] &amp; ""</f>
        <v>#VALUE!</v>
      </c>
      <c r="BM20" s="2" t="e">
        <f>SUBSTITUTE(SUBSTITUTE(SUBSTITUTE(_参照テーブル[[#This Row],[list]], "'", ""),"[", ""), "]", "")</f>
        <v>#VALUE!</v>
      </c>
      <c r="BN20" s="2" t="e" cm="1">
        <f t="array" ref="BN20">MIN(VALUE(_xlfn.TEXTSPLIT(_参照テーブル[[#This Row],[conv]], ", ")))</f>
        <v>#VALUE!</v>
      </c>
      <c r="BO20" s="2" t="e" cm="1">
        <f t="array" ref="BO20">MAX(VALUE(_xlfn.TEXTSPLIT(_参照テーブル[[#This Row],[conv]], ", ")))</f>
        <v>#VALUE!</v>
      </c>
      <c r="BP20" s="2" t="str">
        <f>IFERROR("("&amp;_参照テーブル[[#This Row],[min]]&amp;"～"&amp;_参照テーブル[[#This Row],[max]]&amp;")","")</f>
        <v/>
      </c>
      <c r="BQ20" s="2" t="e">
        <f>変換前のテーブル[[#This Row],[min_max]]</f>
        <v>#VALUE!</v>
      </c>
      <c r="BR20" s="2" t="e">
        <f>SUBSTITUTE(SUBSTITUTE(_参照テーブル[[#This Row],[list2]],"[",""),"]","")</f>
        <v>#VALUE!</v>
      </c>
      <c r="BS20" s="2" t="e" cm="1">
        <f t="array" ref="BS20">_xlfn.CHOOSECOLS(_xlfn.TEXTSPLIT(_参照テーブル[[#This Row],[list2_]],","),1)</f>
        <v>#VALUE!</v>
      </c>
      <c r="BT20" s="2" t="e" cm="1">
        <f t="array" ref="BT20">_xlfn.CHOOSECOLS(_xlfn.TEXTSPLIT(_参照テーブル[[#This Row],[list2_]],","),2)</f>
        <v>#VALUE!</v>
      </c>
      <c r="BU20" s="2" t="str">
        <f>IFERROR("("&amp;_参照テーブル[[#This Row],[min_]]&amp;"～"&amp;_参照テーブル[[#This Row],[max_]]&amp;")", "")</f>
        <v/>
      </c>
    </row>
    <row r="21" spans="63:73">
      <c r="BK21" s="2">
        <f t="shared" si="3"/>
        <v>19</v>
      </c>
      <c r="BL21" s="2" t="e">
        <f>変換前のテーブル[[#This Row],[list_item]] &amp; ""</f>
        <v>#VALUE!</v>
      </c>
      <c r="BM21" s="2" t="e">
        <f>SUBSTITUTE(SUBSTITUTE(SUBSTITUTE(_参照テーブル[[#This Row],[list]], "'", ""),"[", ""), "]", "")</f>
        <v>#VALUE!</v>
      </c>
      <c r="BN21" s="2" t="e" cm="1">
        <f t="array" ref="BN21">MIN(VALUE(_xlfn.TEXTSPLIT(_参照テーブル[[#This Row],[conv]], ", ")))</f>
        <v>#VALUE!</v>
      </c>
      <c r="BO21" s="2" t="e" cm="1">
        <f t="array" ref="BO21">MAX(VALUE(_xlfn.TEXTSPLIT(_参照テーブル[[#This Row],[conv]], ", ")))</f>
        <v>#VALUE!</v>
      </c>
      <c r="BP21" s="2" t="str">
        <f>IFERROR("("&amp;_参照テーブル[[#This Row],[min]]&amp;"～"&amp;_参照テーブル[[#This Row],[max]]&amp;")","")</f>
        <v/>
      </c>
      <c r="BQ21" s="2" t="e">
        <f>変換前のテーブル[[#This Row],[min_max]]</f>
        <v>#VALUE!</v>
      </c>
      <c r="BR21" s="2" t="e">
        <f>SUBSTITUTE(SUBSTITUTE(_参照テーブル[[#This Row],[list2]],"[",""),"]","")</f>
        <v>#VALUE!</v>
      </c>
      <c r="BS21" s="2" t="e" cm="1">
        <f t="array" ref="BS21">_xlfn.CHOOSECOLS(_xlfn.TEXTSPLIT(_参照テーブル[[#This Row],[list2_]],","),1)</f>
        <v>#VALUE!</v>
      </c>
      <c r="BT21" s="2" t="e" cm="1">
        <f t="array" ref="BT21">_xlfn.CHOOSECOLS(_xlfn.TEXTSPLIT(_参照テーブル[[#This Row],[list2_]],","),2)</f>
        <v>#VALUE!</v>
      </c>
      <c r="BU21" s="2" t="str">
        <f>IFERROR("("&amp;_参照テーブル[[#This Row],[min_]]&amp;"～"&amp;_参照テーブル[[#This Row],[max_]]&amp;")", "")</f>
        <v/>
      </c>
    </row>
    <row r="22" spans="63:73">
      <c r="BK22" s="2">
        <f t="shared" si="3"/>
        <v>20</v>
      </c>
      <c r="BL22" s="2" t="e">
        <f>変換前のテーブル[[#This Row],[list_item]] &amp; ""</f>
        <v>#VALUE!</v>
      </c>
      <c r="BM22" s="2" t="e">
        <f>SUBSTITUTE(SUBSTITUTE(SUBSTITUTE(_参照テーブル[[#This Row],[list]], "'", ""),"[", ""), "]", "")</f>
        <v>#VALUE!</v>
      </c>
      <c r="BN22" s="2" t="e" cm="1">
        <f t="array" ref="BN22">MIN(VALUE(_xlfn.TEXTSPLIT(_参照テーブル[[#This Row],[conv]], ", ")))</f>
        <v>#VALUE!</v>
      </c>
      <c r="BO22" s="2" t="e" cm="1">
        <f t="array" ref="BO22">MAX(VALUE(_xlfn.TEXTSPLIT(_参照テーブル[[#This Row],[conv]], ", ")))</f>
        <v>#VALUE!</v>
      </c>
      <c r="BP22" s="2" t="str">
        <f>IFERROR("("&amp;_参照テーブル[[#This Row],[min]]&amp;"～"&amp;_参照テーブル[[#This Row],[max]]&amp;")","")</f>
        <v/>
      </c>
      <c r="BQ22" s="2" t="e">
        <f>変換前のテーブル[[#This Row],[min_max]]</f>
        <v>#VALUE!</v>
      </c>
      <c r="BR22" s="2" t="e">
        <f>SUBSTITUTE(SUBSTITUTE(_参照テーブル[[#This Row],[list2]],"[",""),"]","")</f>
        <v>#VALUE!</v>
      </c>
      <c r="BS22" s="2" t="e" cm="1">
        <f t="array" ref="BS22">_xlfn.CHOOSECOLS(_xlfn.TEXTSPLIT(_参照テーブル[[#This Row],[list2_]],","),1)</f>
        <v>#VALUE!</v>
      </c>
      <c r="BT22" s="2" t="e" cm="1">
        <f t="array" ref="BT22">_xlfn.CHOOSECOLS(_xlfn.TEXTSPLIT(_参照テーブル[[#This Row],[list2_]],","),2)</f>
        <v>#VALUE!</v>
      </c>
      <c r="BU22" s="2" t="str">
        <f>IFERROR("("&amp;_参照テーブル[[#This Row],[min_]]&amp;"～"&amp;_参照テーブル[[#This Row],[max_]]&amp;")", "")</f>
        <v/>
      </c>
    </row>
    <row r="23" spans="63:73">
      <c r="BK23" s="2">
        <f t="shared" si="3"/>
        <v>21</v>
      </c>
      <c r="BL23" s="2" t="e">
        <f>変換前のテーブル[[#This Row],[list_item]] &amp; ""</f>
        <v>#VALUE!</v>
      </c>
      <c r="BM23" s="2" t="e">
        <f>SUBSTITUTE(SUBSTITUTE(SUBSTITUTE(_参照テーブル[[#This Row],[list]], "'", ""),"[", ""), "]", "")</f>
        <v>#VALUE!</v>
      </c>
      <c r="BN23" s="2" t="e" cm="1">
        <f t="array" ref="BN23">MIN(VALUE(_xlfn.TEXTSPLIT(_参照テーブル[[#This Row],[conv]], ", ")))</f>
        <v>#VALUE!</v>
      </c>
      <c r="BO23" s="2" t="e" cm="1">
        <f t="array" ref="BO23">MAX(VALUE(_xlfn.TEXTSPLIT(_参照テーブル[[#This Row],[conv]], ", ")))</f>
        <v>#VALUE!</v>
      </c>
      <c r="BP23" s="2" t="str">
        <f>IFERROR("("&amp;_参照テーブル[[#This Row],[min]]&amp;"～"&amp;_参照テーブル[[#This Row],[max]]&amp;")","")</f>
        <v/>
      </c>
      <c r="BQ23" s="2" t="e">
        <f>変換前のテーブル[[#This Row],[min_max]]</f>
        <v>#VALUE!</v>
      </c>
      <c r="BR23" s="2" t="e">
        <f>SUBSTITUTE(SUBSTITUTE(_参照テーブル[[#This Row],[list2]],"[",""),"]","")</f>
        <v>#VALUE!</v>
      </c>
      <c r="BS23" s="2" t="e" cm="1">
        <f t="array" ref="BS23">_xlfn.CHOOSECOLS(_xlfn.TEXTSPLIT(_参照テーブル[[#This Row],[list2_]],","),1)</f>
        <v>#VALUE!</v>
      </c>
      <c r="BT23" s="2" t="e" cm="1">
        <f t="array" ref="BT23">_xlfn.CHOOSECOLS(_xlfn.TEXTSPLIT(_参照テーブル[[#This Row],[list2_]],","),2)</f>
        <v>#VALUE!</v>
      </c>
      <c r="BU23" s="2" t="str">
        <f>IFERROR("("&amp;_参照テーブル[[#This Row],[min_]]&amp;"～"&amp;_参照テーブル[[#This Row],[max_]]&amp;")", "")</f>
        <v/>
      </c>
    </row>
    <row r="24" spans="63:73">
      <c r="BK24" s="2">
        <f t="shared" si="3"/>
        <v>22</v>
      </c>
      <c r="BL24" s="2" t="e">
        <f>変換前のテーブル[[#This Row],[list_item]] &amp; ""</f>
        <v>#VALUE!</v>
      </c>
      <c r="BM24" s="2" t="e">
        <f>SUBSTITUTE(SUBSTITUTE(SUBSTITUTE(_参照テーブル[[#This Row],[list]], "'", ""),"[", ""), "]", "")</f>
        <v>#VALUE!</v>
      </c>
      <c r="BN24" s="2" t="e" cm="1">
        <f t="array" ref="BN24">MIN(VALUE(_xlfn.TEXTSPLIT(_参照テーブル[[#This Row],[conv]], ", ")))</f>
        <v>#VALUE!</v>
      </c>
      <c r="BO24" s="2" t="e" cm="1">
        <f t="array" ref="BO24">MAX(VALUE(_xlfn.TEXTSPLIT(_参照テーブル[[#This Row],[conv]], ", ")))</f>
        <v>#VALUE!</v>
      </c>
      <c r="BP24" s="2" t="str">
        <f>IFERROR("("&amp;_参照テーブル[[#This Row],[min]]&amp;"～"&amp;_参照テーブル[[#This Row],[max]]&amp;")","")</f>
        <v/>
      </c>
      <c r="BQ24" s="2" t="e">
        <f>変換前のテーブル[[#This Row],[min_max]]</f>
        <v>#VALUE!</v>
      </c>
      <c r="BR24" s="2" t="e">
        <f>SUBSTITUTE(SUBSTITUTE(_参照テーブル[[#This Row],[list2]],"[",""),"]","")</f>
        <v>#VALUE!</v>
      </c>
      <c r="BS24" s="2" t="e" cm="1">
        <f t="array" ref="BS24">_xlfn.CHOOSECOLS(_xlfn.TEXTSPLIT(_参照テーブル[[#This Row],[list2_]],","),1)</f>
        <v>#VALUE!</v>
      </c>
      <c r="BT24" s="2" t="e" cm="1">
        <f t="array" ref="BT24">_xlfn.CHOOSECOLS(_xlfn.TEXTSPLIT(_参照テーブル[[#This Row],[list2_]],","),2)</f>
        <v>#VALUE!</v>
      </c>
      <c r="BU24" s="2" t="str">
        <f>IFERROR("("&amp;_参照テーブル[[#This Row],[min_]]&amp;"～"&amp;_参照テーブル[[#This Row],[max_]]&amp;")", "")</f>
        <v/>
      </c>
    </row>
    <row r="25" spans="63:73">
      <c r="BK25" s="2">
        <f t="shared" si="3"/>
        <v>23</v>
      </c>
      <c r="BL25" s="2" t="e">
        <f>変換前のテーブル[[#This Row],[list_item]] &amp; ""</f>
        <v>#VALUE!</v>
      </c>
      <c r="BM25" s="2" t="e">
        <f>SUBSTITUTE(SUBSTITUTE(SUBSTITUTE(_参照テーブル[[#This Row],[list]], "'", ""),"[", ""), "]", "")</f>
        <v>#VALUE!</v>
      </c>
      <c r="BN25" s="2" t="e" cm="1">
        <f t="array" ref="BN25">MIN(VALUE(_xlfn.TEXTSPLIT(_参照テーブル[[#This Row],[conv]], ", ")))</f>
        <v>#VALUE!</v>
      </c>
      <c r="BO25" s="2" t="e" cm="1">
        <f t="array" ref="BO25">MAX(VALUE(_xlfn.TEXTSPLIT(_参照テーブル[[#This Row],[conv]], ", ")))</f>
        <v>#VALUE!</v>
      </c>
      <c r="BP25" s="2" t="str">
        <f>IFERROR("("&amp;_参照テーブル[[#This Row],[min]]&amp;"～"&amp;_参照テーブル[[#This Row],[max]]&amp;")","")</f>
        <v/>
      </c>
      <c r="BQ25" s="2" t="e">
        <f>変換前のテーブル[[#This Row],[min_max]]</f>
        <v>#VALUE!</v>
      </c>
      <c r="BR25" s="2" t="e">
        <f>SUBSTITUTE(SUBSTITUTE(_参照テーブル[[#This Row],[list2]],"[",""),"]","")</f>
        <v>#VALUE!</v>
      </c>
      <c r="BS25" s="2" t="e" cm="1">
        <f t="array" ref="BS25">_xlfn.CHOOSECOLS(_xlfn.TEXTSPLIT(_参照テーブル[[#This Row],[list2_]],","),1)</f>
        <v>#VALUE!</v>
      </c>
      <c r="BT25" s="2" t="e" cm="1">
        <f t="array" ref="BT25">_xlfn.CHOOSECOLS(_xlfn.TEXTSPLIT(_参照テーブル[[#This Row],[list2_]],","),2)</f>
        <v>#VALUE!</v>
      </c>
      <c r="BU25" s="2" t="str">
        <f>IFERROR("("&amp;_参照テーブル[[#This Row],[min_]]&amp;"～"&amp;_参照テーブル[[#This Row],[max_]]&amp;")", "")</f>
        <v/>
      </c>
    </row>
    <row r="26" spans="63:73">
      <c r="BK26" s="2">
        <f t="shared" si="3"/>
        <v>24</v>
      </c>
      <c r="BL26" s="2" t="e">
        <f>変換前のテーブル[[#This Row],[list_item]] &amp; ""</f>
        <v>#VALUE!</v>
      </c>
      <c r="BM26" s="2" t="e">
        <f>SUBSTITUTE(SUBSTITUTE(SUBSTITUTE(_参照テーブル[[#This Row],[list]], "'", ""),"[", ""), "]", "")</f>
        <v>#VALUE!</v>
      </c>
      <c r="BN26" s="2" t="e" cm="1">
        <f t="array" ref="BN26">MIN(VALUE(_xlfn.TEXTSPLIT(_参照テーブル[[#This Row],[conv]], ", ")))</f>
        <v>#VALUE!</v>
      </c>
      <c r="BO26" s="2" t="e" cm="1">
        <f t="array" ref="BO26">MAX(VALUE(_xlfn.TEXTSPLIT(_参照テーブル[[#This Row],[conv]], ", ")))</f>
        <v>#VALUE!</v>
      </c>
      <c r="BP26" s="2" t="str">
        <f>IFERROR("("&amp;_参照テーブル[[#This Row],[min]]&amp;"～"&amp;_参照テーブル[[#This Row],[max]]&amp;")","")</f>
        <v/>
      </c>
      <c r="BQ26" s="2" t="e">
        <f>変換前のテーブル[[#This Row],[min_max]]</f>
        <v>#VALUE!</v>
      </c>
      <c r="BR26" s="2" t="e">
        <f>SUBSTITUTE(SUBSTITUTE(_参照テーブル[[#This Row],[list2]],"[",""),"]","")</f>
        <v>#VALUE!</v>
      </c>
      <c r="BS26" s="2" t="e" cm="1">
        <f t="array" ref="BS26">_xlfn.CHOOSECOLS(_xlfn.TEXTSPLIT(_参照テーブル[[#This Row],[list2_]],","),1)</f>
        <v>#VALUE!</v>
      </c>
      <c r="BT26" s="2" t="e" cm="1">
        <f t="array" ref="BT26">_xlfn.CHOOSECOLS(_xlfn.TEXTSPLIT(_参照テーブル[[#This Row],[list2_]],","),2)</f>
        <v>#VALUE!</v>
      </c>
      <c r="BU26" s="2" t="str">
        <f>IFERROR("("&amp;_参照テーブル[[#This Row],[min_]]&amp;"～"&amp;_参照テーブル[[#This Row],[max_]]&amp;")", "")</f>
        <v/>
      </c>
    </row>
    <row r="27" spans="63:73">
      <c r="BK27" s="2">
        <f t="shared" si="3"/>
        <v>25</v>
      </c>
      <c r="BL27" s="2" t="e">
        <f>変換前のテーブル[[#This Row],[list_item]] &amp; ""</f>
        <v>#VALUE!</v>
      </c>
      <c r="BM27" s="2" t="e">
        <f>SUBSTITUTE(SUBSTITUTE(SUBSTITUTE(_参照テーブル[[#This Row],[list]], "'", ""),"[", ""), "]", "")</f>
        <v>#VALUE!</v>
      </c>
      <c r="BN27" s="2" t="e" cm="1">
        <f t="array" ref="BN27">MIN(VALUE(_xlfn.TEXTSPLIT(_参照テーブル[[#This Row],[conv]], ", ")))</f>
        <v>#VALUE!</v>
      </c>
      <c r="BO27" s="2" t="e" cm="1">
        <f t="array" ref="BO27">MAX(VALUE(_xlfn.TEXTSPLIT(_参照テーブル[[#This Row],[conv]], ", ")))</f>
        <v>#VALUE!</v>
      </c>
      <c r="BP27" s="2" t="str">
        <f>IFERROR("("&amp;_参照テーブル[[#This Row],[min]]&amp;"～"&amp;_参照テーブル[[#This Row],[max]]&amp;")","")</f>
        <v/>
      </c>
      <c r="BQ27" s="2" t="e">
        <f>変換前のテーブル[[#This Row],[min_max]]</f>
        <v>#VALUE!</v>
      </c>
      <c r="BR27" s="2" t="e">
        <f>SUBSTITUTE(SUBSTITUTE(_参照テーブル[[#This Row],[list2]],"[",""),"]","")</f>
        <v>#VALUE!</v>
      </c>
      <c r="BS27" s="2" t="e" cm="1">
        <f t="array" ref="BS27">_xlfn.CHOOSECOLS(_xlfn.TEXTSPLIT(_参照テーブル[[#This Row],[list2_]],","),1)</f>
        <v>#VALUE!</v>
      </c>
      <c r="BT27" s="2" t="e" cm="1">
        <f t="array" ref="BT27">_xlfn.CHOOSECOLS(_xlfn.TEXTSPLIT(_参照テーブル[[#This Row],[list2_]],","),2)</f>
        <v>#VALUE!</v>
      </c>
      <c r="BU27" s="2" t="str">
        <f>IFERROR("("&amp;_参照テーブル[[#This Row],[min_]]&amp;"～"&amp;_参照テーブル[[#This Row],[max_]]&amp;")", "")</f>
        <v/>
      </c>
    </row>
    <row r="28" spans="63:73">
      <c r="BK28" s="2">
        <f t="shared" si="3"/>
        <v>26</v>
      </c>
      <c r="BL28" s="2" t="e">
        <f>変換前のテーブル[[#This Row],[list_item]] &amp; ""</f>
        <v>#VALUE!</v>
      </c>
      <c r="BM28" s="2" t="e">
        <f>SUBSTITUTE(SUBSTITUTE(SUBSTITUTE(_参照テーブル[[#This Row],[list]], "'", ""),"[", ""), "]", "")</f>
        <v>#VALUE!</v>
      </c>
      <c r="BN28" s="2" t="e" cm="1">
        <f t="array" ref="BN28">MIN(VALUE(_xlfn.TEXTSPLIT(_参照テーブル[[#This Row],[conv]], ", ")))</f>
        <v>#VALUE!</v>
      </c>
      <c r="BO28" s="2" t="e" cm="1">
        <f t="array" ref="BO28">MAX(VALUE(_xlfn.TEXTSPLIT(_参照テーブル[[#This Row],[conv]], ", ")))</f>
        <v>#VALUE!</v>
      </c>
      <c r="BP28" s="2" t="str">
        <f>IFERROR("("&amp;_参照テーブル[[#This Row],[min]]&amp;"～"&amp;_参照テーブル[[#This Row],[max]]&amp;")","")</f>
        <v/>
      </c>
      <c r="BQ28" s="2" t="e">
        <f>変換前のテーブル[[#This Row],[min_max]]</f>
        <v>#VALUE!</v>
      </c>
      <c r="BR28" s="2" t="e">
        <f>SUBSTITUTE(SUBSTITUTE(_参照テーブル[[#This Row],[list2]],"[",""),"]","")</f>
        <v>#VALUE!</v>
      </c>
      <c r="BS28" s="2" t="e" cm="1">
        <f t="array" ref="BS28">_xlfn.CHOOSECOLS(_xlfn.TEXTSPLIT(_参照テーブル[[#This Row],[list2_]],","),1)</f>
        <v>#VALUE!</v>
      </c>
      <c r="BT28" s="2" t="e" cm="1">
        <f t="array" ref="BT28">_xlfn.CHOOSECOLS(_xlfn.TEXTSPLIT(_参照テーブル[[#This Row],[list2_]],","),2)</f>
        <v>#VALUE!</v>
      </c>
      <c r="BU28" s="2" t="str">
        <f>IFERROR("("&amp;_参照テーブル[[#This Row],[min_]]&amp;"～"&amp;_参照テーブル[[#This Row],[max_]]&amp;")", "")</f>
        <v/>
      </c>
    </row>
    <row r="29" spans="63:73">
      <c r="BK29" s="2">
        <f t="shared" si="3"/>
        <v>27</v>
      </c>
      <c r="BL29" s="2" t="e">
        <f>変換前のテーブル[[#This Row],[list_item]] &amp; ""</f>
        <v>#VALUE!</v>
      </c>
      <c r="BM29" s="2" t="e">
        <f>SUBSTITUTE(SUBSTITUTE(SUBSTITUTE(_参照テーブル[[#This Row],[list]], "'", ""),"[", ""), "]", "")</f>
        <v>#VALUE!</v>
      </c>
      <c r="BN29" s="2" t="e" cm="1">
        <f t="array" ref="BN29">MIN(VALUE(_xlfn.TEXTSPLIT(_参照テーブル[[#This Row],[conv]], ", ")))</f>
        <v>#VALUE!</v>
      </c>
      <c r="BO29" s="2" t="e" cm="1">
        <f t="array" ref="BO29">MAX(VALUE(_xlfn.TEXTSPLIT(_参照テーブル[[#This Row],[conv]], ", ")))</f>
        <v>#VALUE!</v>
      </c>
      <c r="BP29" s="2" t="str">
        <f>IFERROR("("&amp;_参照テーブル[[#This Row],[min]]&amp;"～"&amp;_参照テーブル[[#This Row],[max]]&amp;")","")</f>
        <v/>
      </c>
      <c r="BQ29" s="2" t="e">
        <f>変換前のテーブル[[#This Row],[min_max]]</f>
        <v>#VALUE!</v>
      </c>
      <c r="BR29" s="2" t="e">
        <f>SUBSTITUTE(SUBSTITUTE(_参照テーブル[[#This Row],[list2]],"[",""),"]","")</f>
        <v>#VALUE!</v>
      </c>
      <c r="BS29" s="2" t="e" cm="1">
        <f t="array" ref="BS29">_xlfn.CHOOSECOLS(_xlfn.TEXTSPLIT(_参照テーブル[[#This Row],[list2_]],","),1)</f>
        <v>#VALUE!</v>
      </c>
      <c r="BT29" s="2" t="e" cm="1">
        <f t="array" ref="BT29">_xlfn.CHOOSECOLS(_xlfn.TEXTSPLIT(_参照テーブル[[#This Row],[list2_]],","),2)</f>
        <v>#VALUE!</v>
      </c>
      <c r="BU29" s="2" t="str">
        <f>IFERROR("("&amp;_参照テーブル[[#This Row],[min_]]&amp;"～"&amp;_参照テーブル[[#This Row],[max_]]&amp;")", "")</f>
        <v/>
      </c>
    </row>
    <row r="30" spans="63:73">
      <c r="BK30" s="2">
        <f t="shared" si="3"/>
        <v>28</v>
      </c>
      <c r="BL30" s="2" t="e">
        <f>変換前のテーブル[[#This Row],[list_item]] &amp; ""</f>
        <v>#VALUE!</v>
      </c>
      <c r="BM30" s="2" t="e">
        <f>SUBSTITUTE(SUBSTITUTE(SUBSTITUTE(_参照テーブル[[#This Row],[list]], "'", ""),"[", ""), "]", "")</f>
        <v>#VALUE!</v>
      </c>
      <c r="BN30" s="2" t="e" cm="1">
        <f t="array" ref="BN30">MIN(VALUE(_xlfn.TEXTSPLIT(_参照テーブル[[#This Row],[conv]], ", ")))</f>
        <v>#VALUE!</v>
      </c>
      <c r="BO30" s="2" t="e" cm="1">
        <f t="array" ref="BO30">MAX(VALUE(_xlfn.TEXTSPLIT(_参照テーブル[[#This Row],[conv]], ", ")))</f>
        <v>#VALUE!</v>
      </c>
      <c r="BP30" s="2" t="str">
        <f>IFERROR("("&amp;_参照テーブル[[#This Row],[min]]&amp;"～"&amp;_参照テーブル[[#This Row],[max]]&amp;")","")</f>
        <v/>
      </c>
      <c r="BQ30" s="2" t="e">
        <f>変換前のテーブル[[#This Row],[min_max]]</f>
        <v>#VALUE!</v>
      </c>
      <c r="BR30" s="2" t="e">
        <f>SUBSTITUTE(SUBSTITUTE(_参照テーブル[[#This Row],[list2]],"[",""),"]","")</f>
        <v>#VALUE!</v>
      </c>
      <c r="BS30" s="2" t="e" cm="1">
        <f t="array" ref="BS30">_xlfn.CHOOSECOLS(_xlfn.TEXTSPLIT(_参照テーブル[[#This Row],[list2_]],","),1)</f>
        <v>#VALUE!</v>
      </c>
      <c r="BT30" s="2" t="e" cm="1">
        <f t="array" ref="BT30">_xlfn.CHOOSECOLS(_xlfn.TEXTSPLIT(_参照テーブル[[#This Row],[list2_]],","),2)</f>
        <v>#VALUE!</v>
      </c>
      <c r="BU30" s="2" t="str">
        <f>IFERROR("("&amp;_参照テーブル[[#This Row],[min_]]&amp;"～"&amp;_参照テーブル[[#This Row],[max_]]&amp;")", "")</f>
        <v/>
      </c>
    </row>
    <row r="31" spans="63:73">
      <c r="BK31" s="2">
        <f t="shared" si="3"/>
        <v>29</v>
      </c>
      <c r="BL31" s="2" t="e">
        <f>変換前のテーブル[[#This Row],[list_item]] &amp; ""</f>
        <v>#VALUE!</v>
      </c>
      <c r="BM31" s="2" t="e">
        <f>SUBSTITUTE(SUBSTITUTE(SUBSTITUTE(_参照テーブル[[#This Row],[list]], "'", ""),"[", ""), "]", "")</f>
        <v>#VALUE!</v>
      </c>
      <c r="BN31" s="2" t="e" cm="1">
        <f t="array" ref="BN31">MIN(VALUE(_xlfn.TEXTSPLIT(_参照テーブル[[#This Row],[conv]], ", ")))</f>
        <v>#VALUE!</v>
      </c>
      <c r="BO31" s="2" t="e" cm="1">
        <f t="array" ref="BO31">MAX(VALUE(_xlfn.TEXTSPLIT(_参照テーブル[[#This Row],[conv]], ", ")))</f>
        <v>#VALUE!</v>
      </c>
      <c r="BP31" s="2" t="str">
        <f>IFERROR("("&amp;_参照テーブル[[#This Row],[min]]&amp;"～"&amp;_参照テーブル[[#This Row],[max]]&amp;")","")</f>
        <v/>
      </c>
      <c r="BQ31" s="2" t="e">
        <f>変換前のテーブル[[#This Row],[min_max]]</f>
        <v>#VALUE!</v>
      </c>
      <c r="BR31" s="2" t="e">
        <f>SUBSTITUTE(SUBSTITUTE(_参照テーブル[[#This Row],[list2]],"[",""),"]","")</f>
        <v>#VALUE!</v>
      </c>
      <c r="BS31" s="2" t="e" cm="1">
        <f t="array" ref="BS31">_xlfn.CHOOSECOLS(_xlfn.TEXTSPLIT(_参照テーブル[[#This Row],[list2_]],","),1)</f>
        <v>#VALUE!</v>
      </c>
      <c r="BT31" s="2" t="e" cm="1">
        <f t="array" ref="BT31">_xlfn.CHOOSECOLS(_xlfn.TEXTSPLIT(_参照テーブル[[#This Row],[list2_]],","),2)</f>
        <v>#VALUE!</v>
      </c>
      <c r="BU31" s="2" t="str">
        <f>IFERROR("("&amp;_参照テーブル[[#This Row],[min_]]&amp;"～"&amp;_参照テーブル[[#This Row],[max_]]&amp;")", "")</f>
        <v/>
      </c>
    </row>
    <row r="32" spans="63:73">
      <c r="BK32" s="2">
        <f t="shared" si="3"/>
        <v>30</v>
      </c>
      <c r="BL32" s="2" t="e">
        <f>変換前のテーブル[[#This Row],[list_item]] &amp; ""</f>
        <v>#VALUE!</v>
      </c>
      <c r="BM32" s="2" t="e">
        <f>SUBSTITUTE(SUBSTITUTE(SUBSTITUTE(_参照テーブル[[#This Row],[list]], "'", ""),"[", ""), "]", "")</f>
        <v>#VALUE!</v>
      </c>
      <c r="BN32" s="2" t="e" cm="1">
        <f t="array" ref="BN32">MIN(VALUE(_xlfn.TEXTSPLIT(_参照テーブル[[#This Row],[conv]], ", ")))</f>
        <v>#VALUE!</v>
      </c>
      <c r="BO32" s="2" t="e" cm="1">
        <f t="array" ref="BO32">MAX(VALUE(_xlfn.TEXTSPLIT(_参照テーブル[[#This Row],[conv]], ", ")))</f>
        <v>#VALUE!</v>
      </c>
      <c r="BP32" s="2" t="str">
        <f>IFERROR("("&amp;_参照テーブル[[#This Row],[min]]&amp;"～"&amp;_参照テーブル[[#This Row],[max]]&amp;")","")</f>
        <v/>
      </c>
      <c r="BQ32" s="2" t="e">
        <f>変換前のテーブル[[#This Row],[min_max]]</f>
        <v>#VALUE!</v>
      </c>
      <c r="BR32" s="2" t="e">
        <f>SUBSTITUTE(SUBSTITUTE(_参照テーブル[[#This Row],[list2]],"[",""),"]","")</f>
        <v>#VALUE!</v>
      </c>
      <c r="BS32" s="2" t="e" cm="1">
        <f t="array" ref="BS32">_xlfn.CHOOSECOLS(_xlfn.TEXTSPLIT(_参照テーブル[[#This Row],[list2_]],","),1)</f>
        <v>#VALUE!</v>
      </c>
      <c r="BT32" s="2" t="e" cm="1">
        <f t="array" ref="BT32">_xlfn.CHOOSECOLS(_xlfn.TEXTSPLIT(_参照テーブル[[#This Row],[list2_]],","),2)</f>
        <v>#VALUE!</v>
      </c>
      <c r="BU32" s="2" t="str">
        <f>IFERROR("("&amp;_参照テーブル[[#This Row],[min_]]&amp;"～"&amp;_参照テーブル[[#This Row],[max_]]&amp;")", "")</f>
        <v/>
      </c>
    </row>
    <row r="33" spans="63:73">
      <c r="BK33" s="2">
        <f t="shared" si="3"/>
        <v>31</v>
      </c>
      <c r="BL33" s="2" t="e">
        <f>変換前のテーブル[[#This Row],[list_item]] &amp; ""</f>
        <v>#VALUE!</v>
      </c>
      <c r="BM33" s="2" t="e">
        <f>SUBSTITUTE(SUBSTITUTE(SUBSTITUTE(_参照テーブル[[#This Row],[list]], "'", ""),"[", ""), "]", "")</f>
        <v>#VALUE!</v>
      </c>
      <c r="BN33" s="2" t="e" cm="1">
        <f t="array" ref="BN33">MIN(VALUE(_xlfn.TEXTSPLIT(_参照テーブル[[#This Row],[conv]], ", ")))</f>
        <v>#VALUE!</v>
      </c>
      <c r="BO33" s="2" t="e" cm="1">
        <f t="array" ref="BO33">MAX(VALUE(_xlfn.TEXTSPLIT(_参照テーブル[[#This Row],[conv]], ", ")))</f>
        <v>#VALUE!</v>
      </c>
      <c r="BP33" s="2" t="str">
        <f>IFERROR("("&amp;_参照テーブル[[#This Row],[min]]&amp;"～"&amp;_参照テーブル[[#This Row],[max]]&amp;")","")</f>
        <v/>
      </c>
      <c r="BQ33" s="2" t="e">
        <f>変換前のテーブル[[#This Row],[min_max]]</f>
        <v>#VALUE!</v>
      </c>
      <c r="BR33" s="2" t="e">
        <f>SUBSTITUTE(SUBSTITUTE(_参照テーブル[[#This Row],[list2]],"[",""),"]","")</f>
        <v>#VALUE!</v>
      </c>
      <c r="BS33" s="2" t="e" cm="1">
        <f t="array" ref="BS33">_xlfn.CHOOSECOLS(_xlfn.TEXTSPLIT(_参照テーブル[[#This Row],[list2_]],","),1)</f>
        <v>#VALUE!</v>
      </c>
      <c r="BT33" s="2" t="e" cm="1">
        <f t="array" ref="BT33">_xlfn.CHOOSECOLS(_xlfn.TEXTSPLIT(_参照テーブル[[#This Row],[list2_]],","),2)</f>
        <v>#VALUE!</v>
      </c>
      <c r="BU33" s="2" t="str">
        <f>IFERROR("("&amp;_参照テーブル[[#This Row],[min_]]&amp;"～"&amp;_参照テーブル[[#This Row],[max_]]&amp;")", "")</f>
        <v/>
      </c>
    </row>
    <row r="34" spans="63:73">
      <c r="BK34" s="2">
        <f t="shared" si="3"/>
        <v>32</v>
      </c>
      <c r="BL34" s="2" t="e">
        <f>変換前のテーブル[[#This Row],[list_item]] &amp; ""</f>
        <v>#VALUE!</v>
      </c>
      <c r="BM34" s="2" t="e">
        <f>SUBSTITUTE(SUBSTITUTE(SUBSTITUTE(_参照テーブル[[#This Row],[list]], "'", ""),"[", ""), "]", "")</f>
        <v>#VALUE!</v>
      </c>
      <c r="BN34" s="2" t="e" cm="1">
        <f t="array" ref="BN34">MIN(VALUE(_xlfn.TEXTSPLIT(_参照テーブル[[#This Row],[conv]], ", ")))</f>
        <v>#VALUE!</v>
      </c>
      <c r="BO34" s="2" t="e" cm="1">
        <f t="array" ref="BO34">MAX(VALUE(_xlfn.TEXTSPLIT(_参照テーブル[[#This Row],[conv]], ", ")))</f>
        <v>#VALUE!</v>
      </c>
      <c r="BP34" s="2" t="str">
        <f>IFERROR("("&amp;_参照テーブル[[#This Row],[min]]&amp;"～"&amp;_参照テーブル[[#This Row],[max]]&amp;")","")</f>
        <v/>
      </c>
      <c r="BQ34" s="2" t="e">
        <f>変換前のテーブル[[#This Row],[min_max]]</f>
        <v>#VALUE!</v>
      </c>
      <c r="BR34" s="2" t="e">
        <f>SUBSTITUTE(SUBSTITUTE(_参照テーブル[[#This Row],[list2]],"[",""),"]","")</f>
        <v>#VALUE!</v>
      </c>
      <c r="BS34" s="2" t="e" cm="1">
        <f t="array" ref="BS34">_xlfn.CHOOSECOLS(_xlfn.TEXTSPLIT(_参照テーブル[[#This Row],[list2_]],","),1)</f>
        <v>#VALUE!</v>
      </c>
      <c r="BT34" s="2" t="e" cm="1">
        <f t="array" ref="BT34">_xlfn.CHOOSECOLS(_xlfn.TEXTSPLIT(_参照テーブル[[#This Row],[list2_]],","),2)</f>
        <v>#VALUE!</v>
      </c>
      <c r="BU34" s="2" t="str">
        <f>IFERROR("("&amp;_参照テーブル[[#This Row],[min_]]&amp;"～"&amp;_参照テーブル[[#This Row],[max_]]&amp;")", "")</f>
        <v/>
      </c>
    </row>
    <row r="35" spans="63:73">
      <c r="BK35" s="2">
        <f t="shared" si="3"/>
        <v>33</v>
      </c>
      <c r="BL35" s="2" t="e">
        <f>変換前のテーブル[[#This Row],[list_item]] &amp; ""</f>
        <v>#VALUE!</v>
      </c>
      <c r="BM35" s="2" t="e">
        <f>SUBSTITUTE(SUBSTITUTE(SUBSTITUTE(_参照テーブル[[#This Row],[list]], "'", ""),"[", ""), "]", "")</f>
        <v>#VALUE!</v>
      </c>
      <c r="BN35" s="2" t="e" cm="1">
        <f t="array" ref="BN35">MIN(VALUE(_xlfn.TEXTSPLIT(_参照テーブル[[#This Row],[conv]], ", ")))</f>
        <v>#VALUE!</v>
      </c>
      <c r="BO35" s="2" t="e" cm="1">
        <f t="array" ref="BO35">MAX(VALUE(_xlfn.TEXTSPLIT(_参照テーブル[[#This Row],[conv]], ", ")))</f>
        <v>#VALUE!</v>
      </c>
      <c r="BP35" s="2" t="str">
        <f>IFERROR("("&amp;_参照テーブル[[#This Row],[min]]&amp;"～"&amp;_参照テーブル[[#This Row],[max]]&amp;")","")</f>
        <v/>
      </c>
      <c r="BQ35" s="2" t="e">
        <f>変換前のテーブル[[#This Row],[min_max]]</f>
        <v>#VALUE!</v>
      </c>
      <c r="BR35" s="2" t="e">
        <f>SUBSTITUTE(SUBSTITUTE(_参照テーブル[[#This Row],[list2]],"[",""),"]","")</f>
        <v>#VALUE!</v>
      </c>
      <c r="BS35" s="2" t="e" cm="1">
        <f t="array" ref="BS35">_xlfn.CHOOSECOLS(_xlfn.TEXTSPLIT(_参照テーブル[[#This Row],[list2_]],","),1)</f>
        <v>#VALUE!</v>
      </c>
      <c r="BT35" s="2" t="e" cm="1">
        <f t="array" ref="BT35">_xlfn.CHOOSECOLS(_xlfn.TEXTSPLIT(_参照テーブル[[#This Row],[list2_]],","),2)</f>
        <v>#VALUE!</v>
      </c>
      <c r="BU35" s="2" t="str">
        <f>IFERROR("("&amp;_参照テーブル[[#This Row],[min_]]&amp;"～"&amp;_参照テーブル[[#This Row],[max_]]&amp;")", "")</f>
        <v/>
      </c>
    </row>
    <row r="36" spans="63:73">
      <c r="BK36" s="2">
        <f t="shared" si="3"/>
        <v>34</v>
      </c>
      <c r="BL36" s="2" t="e">
        <f>変換前のテーブル[[#This Row],[list_item]] &amp; ""</f>
        <v>#VALUE!</v>
      </c>
      <c r="BM36" s="2" t="e">
        <f>SUBSTITUTE(SUBSTITUTE(SUBSTITUTE(_参照テーブル[[#This Row],[list]], "'", ""),"[", ""), "]", "")</f>
        <v>#VALUE!</v>
      </c>
      <c r="BN36" s="2" t="e" cm="1">
        <f t="array" ref="BN36">MIN(VALUE(_xlfn.TEXTSPLIT(_参照テーブル[[#This Row],[conv]], ", ")))</f>
        <v>#VALUE!</v>
      </c>
      <c r="BO36" s="2" t="e" cm="1">
        <f t="array" ref="BO36">MAX(VALUE(_xlfn.TEXTSPLIT(_参照テーブル[[#This Row],[conv]], ", ")))</f>
        <v>#VALUE!</v>
      </c>
      <c r="BP36" s="2" t="str">
        <f>IFERROR("("&amp;_参照テーブル[[#This Row],[min]]&amp;"～"&amp;_参照テーブル[[#This Row],[max]]&amp;")","")</f>
        <v/>
      </c>
      <c r="BQ36" s="2" t="e">
        <f>変換前のテーブル[[#This Row],[min_max]]</f>
        <v>#VALUE!</v>
      </c>
      <c r="BR36" s="2" t="e">
        <f>SUBSTITUTE(SUBSTITUTE(_参照テーブル[[#This Row],[list2]],"[",""),"]","")</f>
        <v>#VALUE!</v>
      </c>
      <c r="BS36" s="2" t="e" cm="1">
        <f t="array" ref="BS36">_xlfn.CHOOSECOLS(_xlfn.TEXTSPLIT(_参照テーブル[[#This Row],[list2_]],","),1)</f>
        <v>#VALUE!</v>
      </c>
      <c r="BT36" s="2" t="e" cm="1">
        <f t="array" ref="BT36">_xlfn.CHOOSECOLS(_xlfn.TEXTSPLIT(_参照テーブル[[#This Row],[list2_]],","),2)</f>
        <v>#VALUE!</v>
      </c>
      <c r="BU36" s="2" t="str">
        <f>IFERROR("("&amp;_参照テーブル[[#This Row],[min_]]&amp;"～"&amp;_参照テーブル[[#This Row],[max_]]&amp;")", "")</f>
        <v/>
      </c>
    </row>
    <row r="37" spans="63:73">
      <c r="BK37" s="2">
        <f t="shared" si="3"/>
        <v>35</v>
      </c>
      <c r="BL37" s="2" t="e">
        <f>変換前のテーブル[[#This Row],[list_item]] &amp; ""</f>
        <v>#VALUE!</v>
      </c>
      <c r="BM37" s="2" t="e">
        <f>SUBSTITUTE(SUBSTITUTE(SUBSTITUTE(_参照テーブル[[#This Row],[list]], "'", ""),"[", ""), "]", "")</f>
        <v>#VALUE!</v>
      </c>
      <c r="BN37" s="2" t="e" cm="1">
        <f t="array" ref="BN37">MIN(VALUE(_xlfn.TEXTSPLIT(_参照テーブル[[#This Row],[conv]], ", ")))</f>
        <v>#VALUE!</v>
      </c>
      <c r="BO37" s="2" t="e" cm="1">
        <f t="array" ref="BO37">MAX(VALUE(_xlfn.TEXTSPLIT(_参照テーブル[[#This Row],[conv]], ", ")))</f>
        <v>#VALUE!</v>
      </c>
      <c r="BP37" s="2" t="str">
        <f>IFERROR("("&amp;_参照テーブル[[#This Row],[min]]&amp;"～"&amp;_参照テーブル[[#This Row],[max]]&amp;")","")</f>
        <v/>
      </c>
      <c r="BQ37" s="2" t="e">
        <f>変換前のテーブル[[#This Row],[min_max]]</f>
        <v>#VALUE!</v>
      </c>
      <c r="BR37" s="2" t="e">
        <f>SUBSTITUTE(SUBSTITUTE(_参照テーブル[[#This Row],[list2]],"[",""),"]","")</f>
        <v>#VALUE!</v>
      </c>
      <c r="BS37" s="2" t="e" cm="1">
        <f t="array" ref="BS37">_xlfn.CHOOSECOLS(_xlfn.TEXTSPLIT(_参照テーブル[[#This Row],[list2_]],","),1)</f>
        <v>#VALUE!</v>
      </c>
      <c r="BT37" s="2" t="e" cm="1">
        <f t="array" ref="BT37">_xlfn.CHOOSECOLS(_xlfn.TEXTSPLIT(_参照テーブル[[#This Row],[list2_]],","),2)</f>
        <v>#VALUE!</v>
      </c>
      <c r="BU37" s="2" t="str">
        <f>IFERROR("("&amp;_参照テーブル[[#This Row],[min_]]&amp;"～"&amp;_参照テーブル[[#This Row],[max_]]&amp;")", "")</f>
        <v/>
      </c>
    </row>
    <row r="38" spans="63:73">
      <c r="BK38" s="2">
        <f t="shared" si="3"/>
        <v>36</v>
      </c>
      <c r="BL38" s="2" t="e">
        <f>変換前のテーブル[[#This Row],[list_item]] &amp; ""</f>
        <v>#VALUE!</v>
      </c>
      <c r="BM38" s="2" t="e">
        <f>SUBSTITUTE(SUBSTITUTE(SUBSTITUTE(_参照テーブル[[#This Row],[list]], "'", ""),"[", ""), "]", "")</f>
        <v>#VALUE!</v>
      </c>
      <c r="BN38" s="2" t="e" cm="1">
        <f t="array" ref="BN38">MIN(VALUE(_xlfn.TEXTSPLIT(_参照テーブル[[#This Row],[conv]], ", ")))</f>
        <v>#VALUE!</v>
      </c>
      <c r="BO38" s="2" t="e" cm="1">
        <f t="array" ref="BO38">MAX(VALUE(_xlfn.TEXTSPLIT(_参照テーブル[[#This Row],[conv]], ", ")))</f>
        <v>#VALUE!</v>
      </c>
      <c r="BP38" s="2" t="str">
        <f>IFERROR("("&amp;_参照テーブル[[#This Row],[min]]&amp;"～"&amp;_参照テーブル[[#This Row],[max]]&amp;")","")</f>
        <v/>
      </c>
      <c r="BQ38" s="2" t="e">
        <f>変換前のテーブル[[#This Row],[min_max]]</f>
        <v>#VALUE!</v>
      </c>
      <c r="BR38" s="2" t="e">
        <f>SUBSTITUTE(SUBSTITUTE(_参照テーブル[[#This Row],[list2]],"[",""),"]","")</f>
        <v>#VALUE!</v>
      </c>
      <c r="BS38" s="2" t="e" cm="1">
        <f t="array" ref="BS38">_xlfn.CHOOSECOLS(_xlfn.TEXTSPLIT(_参照テーブル[[#This Row],[list2_]],","),1)</f>
        <v>#VALUE!</v>
      </c>
      <c r="BT38" s="2" t="e" cm="1">
        <f t="array" ref="BT38">_xlfn.CHOOSECOLS(_xlfn.TEXTSPLIT(_参照テーブル[[#This Row],[list2_]],","),2)</f>
        <v>#VALUE!</v>
      </c>
      <c r="BU38" s="2" t="str">
        <f>IFERROR("("&amp;_参照テーブル[[#This Row],[min_]]&amp;"～"&amp;_参照テーブル[[#This Row],[max_]]&amp;")", "")</f>
        <v/>
      </c>
    </row>
    <row r="39" spans="63:73">
      <c r="BK39" s="2">
        <f t="shared" si="3"/>
        <v>37</v>
      </c>
      <c r="BL39" s="2" t="e">
        <f>変換前のテーブル[[#This Row],[list_item]] &amp; ""</f>
        <v>#VALUE!</v>
      </c>
      <c r="BM39" s="2" t="e">
        <f>SUBSTITUTE(SUBSTITUTE(SUBSTITUTE(_参照テーブル[[#This Row],[list]], "'", ""),"[", ""), "]", "")</f>
        <v>#VALUE!</v>
      </c>
      <c r="BN39" s="2" t="e" cm="1">
        <f t="array" ref="BN39">MIN(VALUE(_xlfn.TEXTSPLIT(_参照テーブル[[#This Row],[conv]], ", ")))</f>
        <v>#VALUE!</v>
      </c>
      <c r="BO39" s="2" t="e" cm="1">
        <f t="array" ref="BO39">MAX(VALUE(_xlfn.TEXTSPLIT(_参照テーブル[[#This Row],[conv]], ", ")))</f>
        <v>#VALUE!</v>
      </c>
      <c r="BP39" s="2" t="str">
        <f>IFERROR("("&amp;_参照テーブル[[#This Row],[min]]&amp;"～"&amp;_参照テーブル[[#This Row],[max]]&amp;")","")</f>
        <v/>
      </c>
      <c r="BQ39" s="2" t="e">
        <f>変換前のテーブル[[#This Row],[min_max]]</f>
        <v>#VALUE!</v>
      </c>
      <c r="BR39" s="2" t="e">
        <f>SUBSTITUTE(SUBSTITUTE(_参照テーブル[[#This Row],[list2]],"[",""),"]","")</f>
        <v>#VALUE!</v>
      </c>
      <c r="BS39" s="2" t="e" cm="1">
        <f t="array" ref="BS39">_xlfn.CHOOSECOLS(_xlfn.TEXTSPLIT(_参照テーブル[[#This Row],[list2_]],","),1)</f>
        <v>#VALUE!</v>
      </c>
      <c r="BT39" s="2" t="e" cm="1">
        <f t="array" ref="BT39">_xlfn.CHOOSECOLS(_xlfn.TEXTSPLIT(_参照テーブル[[#This Row],[list2_]],","),2)</f>
        <v>#VALUE!</v>
      </c>
      <c r="BU39" s="2" t="str">
        <f>IFERROR("("&amp;_参照テーブル[[#This Row],[min_]]&amp;"～"&amp;_参照テーブル[[#This Row],[max_]]&amp;")", "")</f>
        <v/>
      </c>
    </row>
    <row r="40" spans="63:73">
      <c r="BK40" s="2">
        <f t="shared" si="3"/>
        <v>38</v>
      </c>
      <c r="BL40" s="2" t="e">
        <f>変換前のテーブル[[#This Row],[list_item]] &amp; ""</f>
        <v>#VALUE!</v>
      </c>
      <c r="BM40" s="2" t="e">
        <f>SUBSTITUTE(SUBSTITUTE(SUBSTITUTE(_参照テーブル[[#This Row],[list]], "'", ""),"[", ""), "]", "")</f>
        <v>#VALUE!</v>
      </c>
      <c r="BN40" s="2" t="e" cm="1">
        <f t="array" ref="BN40">MIN(VALUE(_xlfn.TEXTSPLIT(_参照テーブル[[#This Row],[conv]], ", ")))</f>
        <v>#VALUE!</v>
      </c>
      <c r="BO40" s="2" t="e" cm="1">
        <f t="array" ref="BO40">MAX(VALUE(_xlfn.TEXTSPLIT(_参照テーブル[[#This Row],[conv]], ", ")))</f>
        <v>#VALUE!</v>
      </c>
      <c r="BP40" s="2" t="str">
        <f>IFERROR("("&amp;_参照テーブル[[#This Row],[min]]&amp;"～"&amp;_参照テーブル[[#This Row],[max]]&amp;")","")</f>
        <v/>
      </c>
      <c r="BQ40" s="2" t="e">
        <f>変換前のテーブル[[#This Row],[min_max]]</f>
        <v>#VALUE!</v>
      </c>
      <c r="BR40" s="2" t="e">
        <f>SUBSTITUTE(SUBSTITUTE(_参照テーブル[[#This Row],[list2]],"[",""),"]","")</f>
        <v>#VALUE!</v>
      </c>
      <c r="BS40" s="2" t="e" cm="1">
        <f t="array" ref="BS40">_xlfn.CHOOSECOLS(_xlfn.TEXTSPLIT(_参照テーブル[[#This Row],[list2_]],","),1)</f>
        <v>#VALUE!</v>
      </c>
      <c r="BT40" s="2" t="e" cm="1">
        <f t="array" ref="BT40">_xlfn.CHOOSECOLS(_xlfn.TEXTSPLIT(_参照テーブル[[#This Row],[list2_]],","),2)</f>
        <v>#VALUE!</v>
      </c>
      <c r="BU40" s="2" t="str">
        <f>IFERROR("("&amp;_参照テーブル[[#This Row],[min_]]&amp;"～"&amp;_参照テーブル[[#This Row],[max_]]&amp;")", "")</f>
        <v/>
      </c>
    </row>
    <row r="41" spans="63:73">
      <c r="BK41" s="2">
        <f t="shared" si="3"/>
        <v>39</v>
      </c>
      <c r="BL41" s="2" t="e">
        <f>変換前のテーブル[[#This Row],[list_item]] &amp; ""</f>
        <v>#VALUE!</v>
      </c>
      <c r="BM41" s="2" t="e">
        <f>SUBSTITUTE(SUBSTITUTE(SUBSTITUTE(_参照テーブル[[#This Row],[list]], "'", ""),"[", ""), "]", "")</f>
        <v>#VALUE!</v>
      </c>
      <c r="BN41" s="2" t="e" cm="1">
        <f t="array" ref="BN41">MIN(VALUE(_xlfn.TEXTSPLIT(_参照テーブル[[#This Row],[conv]], ", ")))</f>
        <v>#VALUE!</v>
      </c>
      <c r="BO41" s="2" t="e" cm="1">
        <f t="array" ref="BO41">MAX(VALUE(_xlfn.TEXTSPLIT(_参照テーブル[[#This Row],[conv]], ", ")))</f>
        <v>#VALUE!</v>
      </c>
      <c r="BP41" s="2" t="str">
        <f>IFERROR("("&amp;_参照テーブル[[#This Row],[min]]&amp;"～"&amp;_参照テーブル[[#This Row],[max]]&amp;")","")</f>
        <v/>
      </c>
      <c r="BQ41" s="2" t="e">
        <f>変換前のテーブル[[#This Row],[min_max]]</f>
        <v>#VALUE!</v>
      </c>
      <c r="BR41" s="2" t="e">
        <f>SUBSTITUTE(SUBSTITUTE(_参照テーブル[[#This Row],[list2]],"[",""),"]","")</f>
        <v>#VALUE!</v>
      </c>
      <c r="BS41" s="2" t="e" cm="1">
        <f t="array" ref="BS41">_xlfn.CHOOSECOLS(_xlfn.TEXTSPLIT(_参照テーブル[[#This Row],[list2_]],","),1)</f>
        <v>#VALUE!</v>
      </c>
      <c r="BT41" s="2" t="e" cm="1">
        <f t="array" ref="BT41">_xlfn.CHOOSECOLS(_xlfn.TEXTSPLIT(_参照テーブル[[#This Row],[list2_]],","),2)</f>
        <v>#VALUE!</v>
      </c>
      <c r="BU41" s="2" t="str">
        <f>IFERROR("("&amp;_参照テーブル[[#This Row],[min_]]&amp;"～"&amp;_参照テーブル[[#This Row],[max_]]&amp;")", "")</f>
        <v/>
      </c>
    </row>
    <row r="42" spans="63:73">
      <c r="BK42" s="2">
        <f t="shared" si="3"/>
        <v>40</v>
      </c>
      <c r="BL42" s="2" t="e">
        <f>変換前のテーブル[[#This Row],[list_item]] &amp; ""</f>
        <v>#VALUE!</v>
      </c>
      <c r="BM42" s="2" t="e">
        <f>SUBSTITUTE(SUBSTITUTE(SUBSTITUTE(_参照テーブル[[#This Row],[list]], "'", ""),"[", ""), "]", "")</f>
        <v>#VALUE!</v>
      </c>
      <c r="BN42" s="2" t="e" cm="1">
        <f t="array" ref="BN42">MIN(VALUE(_xlfn.TEXTSPLIT(_参照テーブル[[#This Row],[conv]], ", ")))</f>
        <v>#VALUE!</v>
      </c>
      <c r="BO42" s="2" t="e" cm="1">
        <f t="array" ref="BO42">MAX(VALUE(_xlfn.TEXTSPLIT(_参照テーブル[[#This Row],[conv]], ", ")))</f>
        <v>#VALUE!</v>
      </c>
      <c r="BP42" s="2" t="str">
        <f>IFERROR("("&amp;_参照テーブル[[#This Row],[min]]&amp;"～"&amp;_参照テーブル[[#This Row],[max]]&amp;")","")</f>
        <v/>
      </c>
      <c r="BQ42" s="2" t="e">
        <f>変換前のテーブル[[#This Row],[min_max]]</f>
        <v>#VALUE!</v>
      </c>
      <c r="BR42" s="2" t="e">
        <f>SUBSTITUTE(SUBSTITUTE(_参照テーブル[[#This Row],[list2]],"[",""),"]","")</f>
        <v>#VALUE!</v>
      </c>
      <c r="BS42" s="2" t="e" cm="1">
        <f t="array" ref="BS42">_xlfn.CHOOSECOLS(_xlfn.TEXTSPLIT(_参照テーブル[[#This Row],[list2_]],","),1)</f>
        <v>#VALUE!</v>
      </c>
      <c r="BT42" s="2" t="e" cm="1">
        <f t="array" ref="BT42">_xlfn.CHOOSECOLS(_xlfn.TEXTSPLIT(_参照テーブル[[#This Row],[list2_]],","),2)</f>
        <v>#VALUE!</v>
      </c>
      <c r="BU42" s="2" t="str">
        <f>IFERROR("("&amp;_参照テーブル[[#This Row],[min_]]&amp;"～"&amp;_参照テーブル[[#This Row],[max_]]&amp;")", "")</f>
        <v/>
      </c>
    </row>
    <row r="43" spans="63:73">
      <c r="BK43" s="2">
        <f t="shared" si="3"/>
        <v>41</v>
      </c>
      <c r="BL43" s="2" t="e">
        <f>変換前のテーブル[[#This Row],[list_item]] &amp; ""</f>
        <v>#VALUE!</v>
      </c>
      <c r="BM43" s="2" t="e">
        <f>SUBSTITUTE(SUBSTITUTE(SUBSTITUTE(_参照テーブル[[#This Row],[list]], "'", ""),"[", ""), "]", "")</f>
        <v>#VALUE!</v>
      </c>
      <c r="BN43" s="2" t="e" cm="1">
        <f t="array" ref="BN43">MIN(VALUE(_xlfn.TEXTSPLIT(_参照テーブル[[#This Row],[conv]], ", ")))</f>
        <v>#VALUE!</v>
      </c>
      <c r="BO43" s="2" t="e" cm="1">
        <f t="array" ref="BO43">MAX(VALUE(_xlfn.TEXTSPLIT(_参照テーブル[[#This Row],[conv]], ", ")))</f>
        <v>#VALUE!</v>
      </c>
      <c r="BP43" s="2" t="str">
        <f>IFERROR("("&amp;_参照テーブル[[#This Row],[min]]&amp;"～"&amp;_参照テーブル[[#This Row],[max]]&amp;")","")</f>
        <v/>
      </c>
      <c r="BQ43" s="2" t="e">
        <f>変換前のテーブル[[#This Row],[min_max]]</f>
        <v>#VALUE!</v>
      </c>
      <c r="BR43" s="2" t="e">
        <f>SUBSTITUTE(SUBSTITUTE(_参照テーブル[[#This Row],[list2]],"[",""),"]","")</f>
        <v>#VALUE!</v>
      </c>
      <c r="BS43" s="2" t="e" cm="1">
        <f t="array" ref="BS43">_xlfn.CHOOSECOLS(_xlfn.TEXTSPLIT(_参照テーブル[[#This Row],[list2_]],","),1)</f>
        <v>#VALUE!</v>
      </c>
      <c r="BT43" s="2" t="e" cm="1">
        <f t="array" ref="BT43">_xlfn.CHOOSECOLS(_xlfn.TEXTSPLIT(_参照テーブル[[#This Row],[list2_]],","),2)</f>
        <v>#VALUE!</v>
      </c>
      <c r="BU43" s="2" t="str">
        <f>IFERROR("("&amp;_参照テーブル[[#This Row],[min_]]&amp;"～"&amp;_参照テーブル[[#This Row],[max_]]&amp;")", "")</f>
        <v/>
      </c>
    </row>
    <row r="44" spans="63:73">
      <c r="BK44" s="2">
        <f t="shared" si="3"/>
        <v>42</v>
      </c>
      <c r="BL44" s="2" t="e">
        <f>変換前のテーブル[[#This Row],[list_item]] &amp; ""</f>
        <v>#VALUE!</v>
      </c>
      <c r="BM44" s="2" t="e">
        <f>SUBSTITUTE(SUBSTITUTE(SUBSTITUTE(_参照テーブル[[#This Row],[list]], "'", ""),"[", ""), "]", "")</f>
        <v>#VALUE!</v>
      </c>
      <c r="BN44" s="2" t="e" cm="1">
        <f t="array" ref="BN44">MIN(VALUE(_xlfn.TEXTSPLIT(_参照テーブル[[#This Row],[conv]], ", ")))</f>
        <v>#VALUE!</v>
      </c>
      <c r="BO44" s="2" t="e" cm="1">
        <f t="array" ref="BO44">MAX(VALUE(_xlfn.TEXTSPLIT(_参照テーブル[[#This Row],[conv]], ", ")))</f>
        <v>#VALUE!</v>
      </c>
      <c r="BP44" s="2" t="str">
        <f>IFERROR("("&amp;_参照テーブル[[#This Row],[min]]&amp;"～"&amp;_参照テーブル[[#This Row],[max]]&amp;")","")</f>
        <v/>
      </c>
      <c r="BQ44" s="2" t="e">
        <f>変換前のテーブル[[#This Row],[min_max]]</f>
        <v>#VALUE!</v>
      </c>
      <c r="BR44" s="2" t="e">
        <f>SUBSTITUTE(SUBSTITUTE(_参照テーブル[[#This Row],[list2]],"[",""),"]","")</f>
        <v>#VALUE!</v>
      </c>
      <c r="BS44" s="2" t="e" cm="1">
        <f t="array" ref="BS44">_xlfn.CHOOSECOLS(_xlfn.TEXTSPLIT(_参照テーブル[[#This Row],[list2_]],","),1)</f>
        <v>#VALUE!</v>
      </c>
      <c r="BT44" s="2" t="e" cm="1">
        <f t="array" ref="BT44">_xlfn.CHOOSECOLS(_xlfn.TEXTSPLIT(_参照テーブル[[#This Row],[list2_]],","),2)</f>
        <v>#VALUE!</v>
      </c>
      <c r="BU44" s="2" t="str">
        <f>IFERROR("("&amp;_参照テーブル[[#This Row],[min_]]&amp;"～"&amp;_参照テーブル[[#This Row],[max_]]&amp;")", "")</f>
        <v/>
      </c>
    </row>
    <row r="45" spans="63:73">
      <c r="BK45" s="2">
        <f t="shared" si="3"/>
        <v>43</v>
      </c>
      <c r="BL45" s="2" t="e">
        <f>変換前のテーブル[[#This Row],[list_item]] &amp; ""</f>
        <v>#VALUE!</v>
      </c>
      <c r="BM45" s="2" t="e">
        <f>SUBSTITUTE(SUBSTITUTE(SUBSTITUTE(_参照テーブル[[#This Row],[list]], "'", ""),"[", ""), "]", "")</f>
        <v>#VALUE!</v>
      </c>
      <c r="BN45" s="2" t="e" cm="1">
        <f t="array" ref="BN45">MIN(VALUE(_xlfn.TEXTSPLIT(_参照テーブル[[#This Row],[conv]], ", ")))</f>
        <v>#VALUE!</v>
      </c>
      <c r="BO45" s="2" t="e" cm="1">
        <f t="array" ref="BO45">MAX(VALUE(_xlfn.TEXTSPLIT(_参照テーブル[[#This Row],[conv]], ", ")))</f>
        <v>#VALUE!</v>
      </c>
      <c r="BP45" s="2" t="str">
        <f>IFERROR("("&amp;_参照テーブル[[#This Row],[min]]&amp;"～"&amp;_参照テーブル[[#This Row],[max]]&amp;")","")</f>
        <v/>
      </c>
      <c r="BQ45" s="2" t="e">
        <f>変換前のテーブル[[#This Row],[min_max]]</f>
        <v>#VALUE!</v>
      </c>
      <c r="BR45" s="2" t="e">
        <f>SUBSTITUTE(SUBSTITUTE(_参照テーブル[[#This Row],[list2]],"[",""),"]","")</f>
        <v>#VALUE!</v>
      </c>
      <c r="BS45" s="2" t="e" cm="1">
        <f t="array" ref="BS45">_xlfn.CHOOSECOLS(_xlfn.TEXTSPLIT(_参照テーブル[[#This Row],[list2_]],","),1)</f>
        <v>#VALUE!</v>
      </c>
      <c r="BT45" s="2" t="e" cm="1">
        <f t="array" ref="BT45">_xlfn.CHOOSECOLS(_xlfn.TEXTSPLIT(_参照テーブル[[#This Row],[list2_]],","),2)</f>
        <v>#VALUE!</v>
      </c>
      <c r="BU45" s="2" t="str">
        <f>IFERROR("("&amp;_参照テーブル[[#This Row],[min_]]&amp;"～"&amp;_参照テーブル[[#This Row],[max_]]&amp;")", "")</f>
        <v/>
      </c>
    </row>
    <row r="46" spans="63:73">
      <c r="BK46" s="2">
        <f t="shared" si="3"/>
        <v>44</v>
      </c>
      <c r="BL46" s="2" t="e">
        <f>変換前のテーブル[[#This Row],[list_item]] &amp; ""</f>
        <v>#VALUE!</v>
      </c>
      <c r="BM46" s="2" t="e">
        <f>SUBSTITUTE(SUBSTITUTE(SUBSTITUTE(_参照テーブル[[#This Row],[list]], "'", ""),"[", ""), "]", "")</f>
        <v>#VALUE!</v>
      </c>
      <c r="BN46" s="2" t="e" cm="1">
        <f t="array" ref="BN46">MIN(VALUE(_xlfn.TEXTSPLIT(_参照テーブル[[#This Row],[conv]], ", ")))</f>
        <v>#VALUE!</v>
      </c>
      <c r="BO46" s="2" t="e" cm="1">
        <f t="array" ref="BO46">MAX(VALUE(_xlfn.TEXTSPLIT(_参照テーブル[[#This Row],[conv]], ", ")))</f>
        <v>#VALUE!</v>
      </c>
      <c r="BP46" s="2" t="str">
        <f>IFERROR("("&amp;_参照テーブル[[#This Row],[min]]&amp;"～"&amp;_参照テーブル[[#This Row],[max]]&amp;")","")</f>
        <v/>
      </c>
      <c r="BQ46" s="2" t="e">
        <f>変換前のテーブル[[#This Row],[min_max]]</f>
        <v>#VALUE!</v>
      </c>
      <c r="BR46" s="2" t="e">
        <f>SUBSTITUTE(SUBSTITUTE(_参照テーブル[[#This Row],[list2]],"[",""),"]","")</f>
        <v>#VALUE!</v>
      </c>
      <c r="BS46" s="2" t="e" cm="1">
        <f t="array" ref="BS46">_xlfn.CHOOSECOLS(_xlfn.TEXTSPLIT(_参照テーブル[[#This Row],[list2_]],","),1)</f>
        <v>#VALUE!</v>
      </c>
      <c r="BT46" s="2" t="e" cm="1">
        <f t="array" ref="BT46">_xlfn.CHOOSECOLS(_xlfn.TEXTSPLIT(_参照テーブル[[#This Row],[list2_]],","),2)</f>
        <v>#VALUE!</v>
      </c>
      <c r="BU46" s="2" t="str">
        <f>IFERROR("("&amp;_参照テーブル[[#This Row],[min_]]&amp;"～"&amp;_参照テーブル[[#This Row],[max_]]&amp;")", "")</f>
        <v/>
      </c>
    </row>
    <row r="47" spans="63:73">
      <c r="BK47" s="2">
        <f t="shared" si="3"/>
        <v>45</v>
      </c>
      <c r="BL47" s="2" t="e">
        <f>変換前のテーブル[[#This Row],[list_item]] &amp; ""</f>
        <v>#VALUE!</v>
      </c>
      <c r="BM47" s="2" t="e">
        <f>SUBSTITUTE(SUBSTITUTE(SUBSTITUTE(_参照テーブル[[#This Row],[list]], "'", ""),"[", ""), "]", "")</f>
        <v>#VALUE!</v>
      </c>
      <c r="BN47" s="2" t="e" cm="1">
        <f t="array" ref="BN47">MIN(VALUE(_xlfn.TEXTSPLIT(_参照テーブル[[#This Row],[conv]], ", ")))</f>
        <v>#VALUE!</v>
      </c>
      <c r="BO47" s="2" t="e" cm="1">
        <f t="array" ref="BO47">MAX(VALUE(_xlfn.TEXTSPLIT(_参照テーブル[[#This Row],[conv]], ", ")))</f>
        <v>#VALUE!</v>
      </c>
      <c r="BP47" s="2" t="str">
        <f>IFERROR("("&amp;_参照テーブル[[#This Row],[min]]&amp;"～"&amp;_参照テーブル[[#This Row],[max]]&amp;")","")</f>
        <v/>
      </c>
      <c r="BQ47" s="2" t="e">
        <f>変換前のテーブル[[#This Row],[min_max]]</f>
        <v>#VALUE!</v>
      </c>
      <c r="BR47" s="2" t="e">
        <f>SUBSTITUTE(SUBSTITUTE(_参照テーブル[[#This Row],[list2]],"[",""),"]","")</f>
        <v>#VALUE!</v>
      </c>
      <c r="BS47" s="2" t="e" cm="1">
        <f t="array" ref="BS47">_xlfn.CHOOSECOLS(_xlfn.TEXTSPLIT(_参照テーブル[[#This Row],[list2_]],","),1)</f>
        <v>#VALUE!</v>
      </c>
      <c r="BT47" s="2" t="e" cm="1">
        <f t="array" ref="BT47">_xlfn.CHOOSECOLS(_xlfn.TEXTSPLIT(_参照テーブル[[#This Row],[list2_]],","),2)</f>
        <v>#VALUE!</v>
      </c>
      <c r="BU47" s="2" t="str">
        <f>IFERROR("("&amp;_参照テーブル[[#This Row],[min_]]&amp;"～"&amp;_参照テーブル[[#This Row],[max_]]&amp;")", "")</f>
        <v/>
      </c>
    </row>
    <row r="48" spans="63:73">
      <c r="BK48" s="2">
        <f t="shared" si="3"/>
        <v>46</v>
      </c>
      <c r="BL48" s="2" t="e">
        <f>変換前のテーブル[[#This Row],[list_item]] &amp; ""</f>
        <v>#VALUE!</v>
      </c>
      <c r="BM48" s="2" t="e">
        <f>SUBSTITUTE(SUBSTITUTE(SUBSTITUTE(_参照テーブル[[#This Row],[list]], "'", ""),"[", ""), "]", "")</f>
        <v>#VALUE!</v>
      </c>
      <c r="BN48" s="2" t="e" cm="1">
        <f t="array" ref="BN48">MIN(VALUE(_xlfn.TEXTSPLIT(_参照テーブル[[#This Row],[conv]], ", ")))</f>
        <v>#VALUE!</v>
      </c>
      <c r="BO48" s="2" t="e" cm="1">
        <f t="array" ref="BO48">MAX(VALUE(_xlfn.TEXTSPLIT(_参照テーブル[[#This Row],[conv]], ", ")))</f>
        <v>#VALUE!</v>
      </c>
      <c r="BP48" s="2" t="str">
        <f>IFERROR("("&amp;_参照テーブル[[#This Row],[min]]&amp;"～"&amp;_参照テーブル[[#This Row],[max]]&amp;")","")</f>
        <v/>
      </c>
      <c r="BQ48" s="2" t="e">
        <f>変換前のテーブル[[#This Row],[min_max]]</f>
        <v>#VALUE!</v>
      </c>
      <c r="BR48" s="2" t="e">
        <f>SUBSTITUTE(SUBSTITUTE(_参照テーブル[[#This Row],[list2]],"[",""),"]","")</f>
        <v>#VALUE!</v>
      </c>
      <c r="BS48" s="2" t="e" cm="1">
        <f t="array" ref="BS48">_xlfn.CHOOSECOLS(_xlfn.TEXTSPLIT(_参照テーブル[[#This Row],[list2_]],","),1)</f>
        <v>#VALUE!</v>
      </c>
      <c r="BT48" s="2" t="e" cm="1">
        <f t="array" ref="BT48">_xlfn.CHOOSECOLS(_xlfn.TEXTSPLIT(_参照テーブル[[#This Row],[list2_]],","),2)</f>
        <v>#VALUE!</v>
      </c>
      <c r="BU48" s="2" t="str">
        <f>IFERROR("("&amp;_参照テーブル[[#This Row],[min_]]&amp;"～"&amp;_参照テーブル[[#This Row],[max_]]&amp;")", "")</f>
        <v/>
      </c>
    </row>
    <row r="49" spans="63:73">
      <c r="BK49" s="2">
        <f t="shared" si="3"/>
        <v>47</v>
      </c>
      <c r="BL49" s="2" t="e">
        <f>変換前のテーブル[[#This Row],[list_item]] &amp; ""</f>
        <v>#VALUE!</v>
      </c>
      <c r="BM49" s="2" t="e">
        <f>SUBSTITUTE(SUBSTITUTE(SUBSTITUTE(_参照テーブル[[#This Row],[list]], "'", ""),"[", ""), "]", "")</f>
        <v>#VALUE!</v>
      </c>
      <c r="BN49" s="2" t="e" cm="1">
        <f t="array" ref="BN49">MIN(VALUE(_xlfn.TEXTSPLIT(_参照テーブル[[#This Row],[conv]], ", ")))</f>
        <v>#VALUE!</v>
      </c>
      <c r="BO49" s="2" t="e" cm="1">
        <f t="array" ref="BO49">MAX(VALUE(_xlfn.TEXTSPLIT(_参照テーブル[[#This Row],[conv]], ", ")))</f>
        <v>#VALUE!</v>
      </c>
      <c r="BP49" s="2" t="str">
        <f>IFERROR("("&amp;_参照テーブル[[#This Row],[min]]&amp;"～"&amp;_参照テーブル[[#This Row],[max]]&amp;")","")</f>
        <v/>
      </c>
      <c r="BQ49" s="2" t="e">
        <f>変換前のテーブル[[#This Row],[min_max]]</f>
        <v>#VALUE!</v>
      </c>
      <c r="BR49" s="2" t="e">
        <f>SUBSTITUTE(SUBSTITUTE(_参照テーブル[[#This Row],[list2]],"[",""),"]","")</f>
        <v>#VALUE!</v>
      </c>
      <c r="BS49" s="2" t="e" cm="1">
        <f t="array" ref="BS49">_xlfn.CHOOSECOLS(_xlfn.TEXTSPLIT(_参照テーブル[[#This Row],[list2_]],","),1)</f>
        <v>#VALUE!</v>
      </c>
      <c r="BT49" s="2" t="e" cm="1">
        <f t="array" ref="BT49">_xlfn.CHOOSECOLS(_xlfn.TEXTSPLIT(_参照テーブル[[#This Row],[list2_]],","),2)</f>
        <v>#VALUE!</v>
      </c>
      <c r="BU49" s="2" t="str">
        <f>IFERROR("("&amp;_参照テーブル[[#This Row],[min_]]&amp;"～"&amp;_参照テーブル[[#This Row],[max_]]&amp;")", "")</f>
        <v/>
      </c>
    </row>
    <row r="50" spans="63:73">
      <c r="BK50" s="2">
        <f t="shared" si="3"/>
        <v>48</v>
      </c>
      <c r="BL50" s="2" t="e">
        <f>変換前のテーブル[[#This Row],[list_item]] &amp; ""</f>
        <v>#VALUE!</v>
      </c>
      <c r="BM50" s="2" t="e">
        <f>SUBSTITUTE(SUBSTITUTE(SUBSTITUTE(_参照テーブル[[#This Row],[list]], "'", ""),"[", ""), "]", "")</f>
        <v>#VALUE!</v>
      </c>
      <c r="BN50" s="2" t="e" cm="1">
        <f t="array" ref="BN50">MIN(VALUE(_xlfn.TEXTSPLIT(_参照テーブル[[#This Row],[conv]], ", ")))</f>
        <v>#VALUE!</v>
      </c>
      <c r="BO50" s="2" t="e" cm="1">
        <f t="array" ref="BO50">MAX(VALUE(_xlfn.TEXTSPLIT(_参照テーブル[[#This Row],[conv]], ", ")))</f>
        <v>#VALUE!</v>
      </c>
      <c r="BP50" s="2" t="str">
        <f>IFERROR("("&amp;_参照テーブル[[#This Row],[min]]&amp;"～"&amp;_参照テーブル[[#This Row],[max]]&amp;")","")</f>
        <v/>
      </c>
      <c r="BQ50" s="2" t="e">
        <f>変換前のテーブル[[#This Row],[min_max]]</f>
        <v>#VALUE!</v>
      </c>
      <c r="BR50" s="2" t="e">
        <f>SUBSTITUTE(SUBSTITUTE(_参照テーブル[[#This Row],[list2]],"[",""),"]","")</f>
        <v>#VALUE!</v>
      </c>
      <c r="BS50" s="2" t="e" cm="1">
        <f t="array" ref="BS50">_xlfn.CHOOSECOLS(_xlfn.TEXTSPLIT(_参照テーブル[[#This Row],[list2_]],","),1)</f>
        <v>#VALUE!</v>
      </c>
      <c r="BT50" s="2" t="e" cm="1">
        <f t="array" ref="BT50">_xlfn.CHOOSECOLS(_xlfn.TEXTSPLIT(_参照テーブル[[#This Row],[list2_]],","),2)</f>
        <v>#VALUE!</v>
      </c>
      <c r="BU50" s="2" t="str">
        <f>IFERROR("("&amp;_参照テーブル[[#This Row],[min_]]&amp;"～"&amp;_参照テーブル[[#This Row],[max_]]&amp;")", "")</f>
        <v/>
      </c>
    </row>
    <row r="51" spans="63:73">
      <c r="BK51" s="2">
        <f t="shared" si="3"/>
        <v>49</v>
      </c>
      <c r="BL51" s="2" t="e">
        <f>変換前のテーブル[[#This Row],[list_item]] &amp; ""</f>
        <v>#VALUE!</v>
      </c>
      <c r="BM51" s="2" t="e">
        <f>SUBSTITUTE(SUBSTITUTE(SUBSTITUTE(_参照テーブル[[#This Row],[list]], "'", ""),"[", ""), "]", "")</f>
        <v>#VALUE!</v>
      </c>
      <c r="BN51" s="2" t="e" cm="1">
        <f t="array" ref="BN51">MIN(VALUE(_xlfn.TEXTSPLIT(_参照テーブル[[#This Row],[conv]], ", ")))</f>
        <v>#VALUE!</v>
      </c>
      <c r="BO51" s="2" t="e" cm="1">
        <f t="array" ref="BO51">MAX(VALUE(_xlfn.TEXTSPLIT(_参照テーブル[[#This Row],[conv]], ", ")))</f>
        <v>#VALUE!</v>
      </c>
      <c r="BP51" s="2" t="str">
        <f>IFERROR("("&amp;_参照テーブル[[#This Row],[min]]&amp;"～"&amp;_参照テーブル[[#This Row],[max]]&amp;")","")</f>
        <v/>
      </c>
      <c r="BQ51" s="2" t="e">
        <f>変換前のテーブル[[#This Row],[min_max]]</f>
        <v>#VALUE!</v>
      </c>
      <c r="BR51" s="2" t="e">
        <f>SUBSTITUTE(SUBSTITUTE(_参照テーブル[[#This Row],[list2]],"[",""),"]","")</f>
        <v>#VALUE!</v>
      </c>
      <c r="BS51" s="2" t="e" cm="1">
        <f t="array" ref="BS51">_xlfn.CHOOSECOLS(_xlfn.TEXTSPLIT(_参照テーブル[[#This Row],[list2_]],","),1)</f>
        <v>#VALUE!</v>
      </c>
      <c r="BT51" s="2" t="e" cm="1">
        <f t="array" ref="BT51">_xlfn.CHOOSECOLS(_xlfn.TEXTSPLIT(_参照テーブル[[#This Row],[list2_]],","),2)</f>
        <v>#VALUE!</v>
      </c>
      <c r="BU51" s="2" t="str">
        <f>IFERROR("("&amp;_参照テーブル[[#This Row],[min_]]&amp;"～"&amp;_参照テーブル[[#This Row],[max_]]&amp;")", "")</f>
        <v/>
      </c>
    </row>
    <row r="52" spans="63:73">
      <c r="BK52" s="2">
        <f t="shared" si="3"/>
        <v>50</v>
      </c>
      <c r="BL52" s="2" t="e">
        <f>変換前のテーブル[[#This Row],[list_item]] &amp; ""</f>
        <v>#VALUE!</v>
      </c>
      <c r="BM52" s="2" t="e">
        <f>SUBSTITUTE(SUBSTITUTE(SUBSTITUTE(_参照テーブル[[#This Row],[list]], "'", ""),"[", ""), "]", "")</f>
        <v>#VALUE!</v>
      </c>
      <c r="BN52" s="2" t="e" cm="1">
        <f t="array" ref="BN52">MIN(VALUE(_xlfn.TEXTSPLIT(_参照テーブル[[#This Row],[conv]], ", ")))</f>
        <v>#VALUE!</v>
      </c>
      <c r="BO52" s="2" t="e" cm="1">
        <f t="array" ref="BO52">MAX(VALUE(_xlfn.TEXTSPLIT(_参照テーブル[[#This Row],[conv]], ", ")))</f>
        <v>#VALUE!</v>
      </c>
      <c r="BP52" s="2" t="str">
        <f>IFERROR("("&amp;_参照テーブル[[#This Row],[min]]&amp;"～"&amp;_参照テーブル[[#This Row],[max]]&amp;")","")</f>
        <v/>
      </c>
      <c r="BQ52" s="2" t="e">
        <f>変換前のテーブル[[#This Row],[min_max]]</f>
        <v>#VALUE!</v>
      </c>
      <c r="BR52" s="2" t="e">
        <f>SUBSTITUTE(SUBSTITUTE(_参照テーブル[[#This Row],[list2]],"[",""),"]","")</f>
        <v>#VALUE!</v>
      </c>
      <c r="BS52" s="2" t="e" cm="1">
        <f t="array" ref="BS52">_xlfn.CHOOSECOLS(_xlfn.TEXTSPLIT(_参照テーブル[[#This Row],[list2_]],","),1)</f>
        <v>#VALUE!</v>
      </c>
      <c r="BT52" s="2" t="e" cm="1">
        <f t="array" ref="BT52">_xlfn.CHOOSECOLS(_xlfn.TEXTSPLIT(_参照テーブル[[#This Row],[list2_]],","),2)</f>
        <v>#VALUE!</v>
      </c>
      <c r="BU52" s="2" t="str">
        <f>IFERROR("("&amp;_参照テーブル[[#This Row],[min_]]&amp;"～"&amp;_参照テーブル[[#This Row],[max_]]&amp;")", "")</f>
        <v/>
      </c>
    </row>
    <row r="53" spans="63:73">
      <c r="BK53" s="2">
        <f t="shared" si="3"/>
        <v>51</v>
      </c>
      <c r="BL53" s="2" t="e">
        <f>変換前のテーブル[[#This Row],[list_item]] &amp; ""</f>
        <v>#VALUE!</v>
      </c>
      <c r="BM53" s="2" t="e">
        <f>SUBSTITUTE(SUBSTITUTE(SUBSTITUTE(_参照テーブル[[#This Row],[list]], "'", ""),"[", ""), "]", "")</f>
        <v>#VALUE!</v>
      </c>
      <c r="BN53" s="2" t="e" cm="1">
        <f t="array" ref="BN53">MIN(VALUE(_xlfn.TEXTSPLIT(_参照テーブル[[#This Row],[conv]], ", ")))</f>
        <v>#VALUE!</v>
      </c>
      <c r="BO53" s="2" t="e" cm="1">
        <f t="array" ref="BO53">MAX(VALUE(_xlfn.TEXTSPLIT(_参照テーブル[[#This Row],[conv]], ", ")))</f>
        <v>#VALUE!</v>
      </c>
      <c r="BP53" s="2" t="str">
        <f>IFERROR("("&amp;_参照テーブル[[#This Row],[min]]&amp;"～"&amp;_参照テーブル[[#This Row],[max]]&amp;")","")</f>
        <v/>
      </c>
      <c r="BQ53" s="2" t="e">
        <f>変換前のテーブル[[#This Row],[min_max]]</f>
        <v>#VALUE!</v>
      </c>
      <c r="BR53" s="2" t="e">
        <f>SUBSTITUTE(SUBSTITUTE(_参照テーブル[[#This Row],[list2]],"[",""),"]","")</f>
        <v>#VALUE!</v>
      </c>
      <c r="BS53" s="2" t="e" cm="1">
        <f t="array" ref="BS53">_xlfn.CHOOSECOLS(_xlfn.TEXTSPLIT(_参照テーブル[[#This Row],[list2_]],","),1)</f>
        <v>#VALUE!</v>
      </c>
      <c r="BT53" s="2" t="e" cm="1">
        <f t="array" ref="BT53">_xlfn.CHOOSECOLS(_xlfn.TEXTSPLIT(_参照テーブル[[#This Row],[list2_]],","),2)</f>
        <v>#VALUE!</v>
      </c>
      <c r="BU53" s="2" t="str">
        <f>IFERROR("("&amp;_参照テーブル[[#This Row],[min_]]&amp;"～"&amp;_参照テーブル[[#This Row],[max_]]&amp;")", "")</f>
        <v/>
      </c>
    </row>
    <row r="54" spans="63:73">
      <c r="BK54" s="2">
        <f t="shared" si="3"/>
        <v>52</v>
      </c>
      <c r="BL54" s="2" t="e">
        <f>変換前のテーブル[[#This Row],[list_item]] &amp; ""</f>
        <v>#VALUE!</v>
      </c>
      <c r="BM54" s="2" t="e">
        <f>SUBSTITUTE(SUBSTITUTE(SUBSTITUTE(_参照テーブル[[#This Row],[list]], "'", ""),"[", ""), "]", "")</f>
        <v>#VALUE!</v>
      </c>
      <c r="BN54" s="2" t="e" cm="1">
        <f t="array" ref="BN54">MIN(VALUE(_xlfn.TEXTSPLIT(_参照テーブル[[#This Row],[conv]], ", ")))</f>
        <v>#VALUE!</v>
      </c>
      <c r="BO54" s="2" t="e" cm="1">
        <f t="array" ref="BO54">MAX(VALUE(_xlfn.TEXTSPLIT(_参照テーブル[[#This Row],[conv]], ", ")))</f>
        <v>#VALUE!</v>
      </c>
      <c r="BP54" s="2" t="str">
        <f>IFERROR("("&amp;_参照テーブル[[#This Row],[min]]&amp;"～"&amp;_参照テーブル[[#This Row],[max]]&amp;")","")</f>
        <v/>
      </c>
      <c r="BQ54" s="2" t="e">
        <f>変換前のテーブル[[#This Row],[min_max]]</f>
        <v>#VALUE!</v>
      </c>
      <c r="BR54" s="2" t="e">
        <f>SUBSTITUTE(SUBSTITUTE(_参照テーブル[[#This Row],[list2]],"[",""),"]","")</f>
        <v>#VALUE!</v>
      </c>
      <c r="BS54" s="2" t="e" cm="1">
        <f t="array" ref="BS54">_xlfn.CHOOSECOLS(_xlfn.TEXTSPLIT(_参照テーブル[[#This Row],[list2_]],","),1)</f>
        <v>#VALUE!</v>
      </c>
      <c r="BT54" s="2" t="e" cm="1">
        <f t="array" ref="BT54">_xlfn.CHOOSECOLS(_xlfn.TEXTSPLIT(_参照テーブル[[#This Row],[list2_]],","),2)</f>
        <v>#VALUE!</v>
      </c>
      <c r="BU54" s="2" t="str">
        <f>IFERROR("("&amp;_参照テーブル[[#This Row],[min_]]&amp;"～"&amp;_参照テーブル[[#This Row],[max_]]&amp;")", "")</f>
        <v/>
      </c>
    </row>
    <row r="55" spans="63:73">
      <c r="BK55" s="2">
        <f t="shared" si="3"/>
        <v>53</v>
      </c>
      <c r="BL55" s="2" t="e">
        <f>変換前のテーブル[[#This Row],[list_item]] &amp; ""</f>
        <v>#VALUE!</v>
      </c>
      <c r="BM55" s="2" t="e">
        <f>SUBSTITUTE(SUBSTITUTE(SUBSTITUTE(_参照テーブル[[#This Row],[list]], "'", ""),"[", ""), "]", "")</f>
        <v>#VALUE!</v>
      </c>
      <c r="BN55" s="2" t="e" cm="1">
        <f t="array" ref="BN55">MIN(VALUE(_xlfn.TEXTSPLIT(_参照テーブル[[#This Row],[conv]], ", ")))</f>
        <v>#VALUE!</v>
      </c>
      <c r="BO55" s="2" t="e" cm="1">
        <f t="array" ref="BO55">MAX(VALUE(_xlfn.TEXTSPLIT(_参照テーブル[[#This Row],[conv]], ", ")))</f>
        <v>#VALUE!</v>
      </c>
      <c r="BP55" s="2" t="str">
        <f>IFERROR("("&amp;_参照テーブル[[#This Row],[min]]&amp;"～"&amp;_参照テーブル[[#This Row],[max]]&amp;")","")</f>
        <v/>
      </c>
      <c r="BQ55" s="2" t="e">
        <f>変換前のテーブル[[#This Row],[min_max]]</f>
        <v>#VALUE!</v>
      </c>
      <c r="BR55" s="2" t="e">
        <f>SUBSTITUTE(SUBSTITUTE(_参照テーブル[[#This Row],[list2]],"[",""),"]","")</f>
        <v>#VALUE!</v>
      </c>
      <c r="BS55" s="2" t="e" cm="1">
        <f t="array" ref="BS55">_xlfn.CHOOSECOLS(_xlfn.TEXTSPLIT(_参照テーブル[[#This Row],[list2_]],","),1)</f>
        <v>#VALUE!</v>
      </c>
      <c r="BT55" s="2" t="e" cm="1">
        <f t="array" ref="BT55">_xlfn.CHOOSECOLS(_xlfn.TEXTSPLIT(_参照テーブル[[#This Row],[list2_]],","),2)</f>
        <v>#VALUE!</v>
      </c>
      <c r="BU55" s="2" t="str">
        <f>IFERROR("("&amp;_参照テーブル[[#This Row],[min_]]&amp;"～"&amp;_参照テーブル[[#This Row],[max_]]&amp;")", "")</f>
        <v/>
      </c>
    </row>
    <row r="56" spans="63:73">
      <c r="BK56" s="2">
        <f t="shared" si="3"/>
        <v>54</v>
      </c>
      <c r="BL56" s="2" t="e">
        <f>変換前のテーブル[[#This Row],[list_item]] &amp; ""</f>
        <v>#VALUE!</v>
      </c>
      <c r="BM56" s="2" t="e">
        <f>SUBSTITUTE(SUBSTITUTE(SUBSTITUTE(_参照テーブル[[#This Row],[list]], "'", ""),"[", ""), "]", "")</f>
        <v>#VALUE!</v>
      </c>
      <c r="BN56" s="2" t="e" cm="1">
        <f t="array" ref="BN56">MIN(VALUE(_xlfn.TEXTSPLIT(_参照テーブル[[#This Row],[conv]], ", ")))</f>
        <v>#VALUE!</v>
      </c>
      <c r="BO56" s="2" t="e" cm="1">
        <f t="array" ref="BO56">MAX(VALUE(_xlfn.TEXTSPLIT(_参照テーブル[[#This Row],[conv]], ", ")))</f>
        <v>#VALUE!</v>
      </c>
      <c r="BP56" s="2" t="str">
        <f>IFERROR("("&amp;_参照テーブル[[#This Row],[min]]&amp;"～"&amp;_参照テーブル[[#This Row],[max]]&amp;")","")</f>
        <v/>
      </c>
      <c r="BQ56" s="2" t="e">
        <f>変換前のテーブル[[#This Row],[min_max]]</f>
        <v>#VALUE!</v>
      </c>
      <c r="BR56" s="2" t="e">
        <f>SUBSTITUTE(SUBSTITUTE(_参照テーブル[[#This Row],[list2]],"[",""),"]","")</f>
        <v>#VALUE!</v>
      </c>
      <c r="BS56" s="2" t="e" cm="1">
        <f t="array" ref="BS56">_xlfn.CHOOSECOLS(_xlfn.TEXTSPLIT(_参照テーブル[[#This Row],[list2_]],","),1)</f>
        <v>#VALUE!</v>
      </c>
      <c r="BT56" s="2" t="e" cm="1">
        <f t="array" ref="BT56">_xlfn.CHOOSECOLS(_xlfn.TEXTSPLIT(_参照テーブル[[#This Row],[list2_]],","),2)</f>
        <v>#VALUE!</v>
      </c>
      <c r="BU56" s="2" t="str">
        <f>IFERROR("("&amp;_参照テーブル[[#This Row],[min_]]&amp;"～"&amp;_参照テーブル[[#This Row],[max_]]&amp;")", "")</f>
        <v/>
      </c>
    </row>
    <row r="57" spans="63:73">
      <c r="BK57" s="2">
        <f t="shared" si="3"/>
        <v>55</v>
      </c>
      <c r="BL57" s="2" t="e">
        <f>変換前のテーブル[[#This Row],[list_item]] &amp; ""</f>
        <v>#VALUE!</v>
      </c>
      <c r="BM57" s="2" t="e">
        <f>SUBSTITUTE(SUBSTITUTE(SUBSTITUTE(_参照テーブル[[#This Row],[list]], "'", ""),"[", ""), "]", "")</f>
        <v>#VALUE!</v>
      </c>
      <c r="BN57" s="2" t="e" cm="1">
        <f t="array" ref="BN57">MIN(VALUE(_xlfn.TEXTSPLIT(_参照テーブル[[#This Row],[conv]], ", ")))</f>
        <v>#VALUE!</v>
      </c>
      <c r="BO57" s="2" t="e" cm="1">
        <f t="array" ref="BO57">MAX(VALUE(_xlfn.TEXTSPLIT(_参照テーブル[[#This Row],[conv]], ", ")))</f>
        <v>#VALUE!</v>
      </c>
      <c r="BP57" s="2" t="str">
        <f>IFERROR("("&amp;_参照テーブル[[#This Row],[min]]&amp;"～"&amp;_参照テーブル[[#This Row],[max]]&amp;")","")</f>
        <v/>
      </c>
      <c r="BQ57" s="2" t="e">
        <f>変換前のテーブル[[#This Row],[min_max]]</f>
        <v>#VALUE!</v>
      </c>
      <c r="BR57" s="2" t="e">
        <f>SUBSTITUTE(SUBSTITUTE(_参照テーブル[[#This Row],[list2]],"[",""),"]","")</f>
        <v>#VALUE!</v>
      </c>
      <c r="BS57" s="2" t="e" cm="1">
        <f t="array" ref="BS57">_xlfn.CHOOSECOLS(_xlfn.TEXTSPLIT(_参照テーブル[[#This Row],[list2_]],","),1)</f>
        <v>#VALUE!</v>
      </c>
      <c r="BT57" s="2" t="e" cm="1">
        <f t="array" ref="BT57">_xlfn.CHOOSECOLS(_xlfn.TEXTSPLIT(_参照テーブル[[#This Row],[list2_]],","),2)</f>
        <v>#VALUE!</v>
      </c>
      <c r="BU57" s="2" t="str">
        <f>IFERROR("("&amp;_参照テーブル[[#This Row],[min_]]&amp;"～"&amp;_参照テーブル[[#This Row],[max_]]&amp;")", "")</f>
        <v/>
      </c>
    </row>
    <row r="58" spans="63:73">
      <c r="BK58" s="2">
        <f t="shared" si="3"/>
        <v>56</v>
      </c>
      <c r="BL58" s="2" t="e">
        <f>変換前のテーブル[[#This Row],[list_item]] &amp; ""</f>
        <v>#VALUE!</v>
      </c>
      <c r="BM58" s="2" t="e">
        <f>SUBSTITUTE(SUBSTITUTE(SUBSTITUTE(_参照テーブル[[#This Row],[list]], "'", ""),"[", ""), "]", "")</f>
        <v>#VALUE!</v>
      </c>
      <c r="BN58" s="2" t="e" cm="1">
        <f t="array" ref="BN58">MIN(VALUE(_xlfn.TEXTSPLIT(_参照テーブル[[#This Row],[conv]], ", ")))</f>
        <v>#VALUE!</v>
      </c>
      <c r="BO58" s="2" t="e" cm="1">
        <f t="array" ref="BO58">MAX(VALUE(_xlfn.TEXTSPLIT(_参照テーブル[[#This Row],[conv]], ", ")))</f>
        <v>#VALUE!</v>
      </c>
      <c r="BP58" s="2" t="str">
        <f>IFERROR("("&amp;_参照テーブル[[#This Row],[min]]&amp;"～"&amp;_参照テーブル[[#This Row],[max]]&amp;")","")</f>
        <v/>
      </c>
      <c r="BQ58" s="2" t="e">
        <f>変換前のテーブル[[#This Row],[min_max]]</f>
        <v>#VALUE!</v>
      </c>
      <c r="BR58" s="2" t="e">
        <f>SUBSTITUTE(SUBSTITUTE(_参照テーブル[[#This Row],[list2]],"[",""),"]","")</f>
        <v>#VALUE!</v>
      </c>
      <c r="BS58" s="2" t="e" cm="1">
        <f t="array" ref="BS58">_xlfn.CHOOSECOLS(_xlfn.TEXTSPLIT(_参照テーブル[[#This Row],[list2_]],","),1)</f>
        <v>#VALUE!</v>
      </c>
      <c r="BT58" s="2" t="e" cm="1">
        <f t="array" ref="BT58">_xlfn.CHOOSECOLS(_xlfn.TEXTSPLIT(_参照テーブル[[#This Row],[list2_]],","),2)</f>
        <v>#VALUE!</v>
      </c>
      <c r="BU58" s="2" t="str">
        <f>IFERROR("("&amp;_参照テーブル[[#This Row],[min_]]&amp;"～"&amp;_参照テーブル[[#This Row],[max_]]&amp;")", "")</f>
        <v/>
      </c>
    </row>
    <row r="59" spans="63:73">
      <c r="BK59" s="2">
        <f t="shared" si="3"/>
        <v>57</v>
      </c>
      <c r="BL59" s="2" t="e">
        <f>変換前のテーブル[[#This Row],[list_item]] &amp; ""</f>
        <v>#VALUE!</v>
      </c>
      <c r="BM59" s="2" t="e">
        <f>SUBSTITUTE(SUBSTITUTE(SUBSTITUTE(_参照テーブル[[#This Row],[list]], "'", ""),"[", ""), "]", "")</f>
        <v>#VALUE!</v>
      </c>
      <c r="BN59" s="2" t="e" cm="1">
        <f t="array" ref="BN59">MIN(VALUE(_xlfn.TEXTSPLIT(_参照テーブル[[#This Row],[conv]], ", ")))</f>
        <v>#VALUE!</v>
      </c>
      <c r="BO59" s="2" t="e" cm="1">
        <f t="array" ref="BO59">MAX(VALUE(_xlfn.TEXTSPLIT(_参照テーブル[[#This Row],[conv]], ", ")))</f>
        <v>#VALUE!</v>
      </c>
      <c r="BP59" s="2" t="str">
        <f>IFERROR("("&amp;_参照テーブル[[#This Row],[min]]&amp;"～"&amp;_参照テーブル[[#This Row],[max]]&amp;")","")</f>
        <v/>
      </c>
      <c r="BQ59" s="2" t="e">
        <f>変換前のテーブル[[#This Row],[min_max]]</f>
        <v>#VALUE!</v>
      </c>
      <c r="BR59" s="2" t="e">
        <f>SUBSTITUTE(SUBSTITUTE(_参照テーブル[[#This Row],[list2]],"[",""),"]","")</f>
        <v>#VALUE!</v>
      </c>
      <c r="BS59" s="2" t="e" cm="1">
        <f t="array" ref="BS59">_xlfn.CHOOSECOLS(_xlfn.TEXTSPLIT(_参照テーブル[[#This Row],[list2_]],","),1)</f>
        <v>#VALUE!</v>
      </c>
      <c r="BT59" s="2" t="e" cm="1">
        <f t="array" ref="BT59">_xlfn.CHOOSECOLS(_xlfn.TEXTSPLIT(_参照テーブル[[#This Row],[list2_]],","),2)</f>
        <v>#VALUE!</v>
      </c>
      <c r="BU59" s="2" t="str">
        <f>IFERROR("("&amp;_参照テーブル[[#This Row],[min_]]&amp;"～"&amp;_参照テーブル[[#This Row],[max_]]&amp;")", "")</f>
        <v/>
      </c>
    </row>
    <row r="60" spans="63:73">
      <c r="BK60" s="2">
        <f t="shared" si="3"/>
        <v>58</v>
      </c>
      <c r="BL60" s="2" t="e">
        <f>変換前のテーブル[[#This Row],[list_item]] &amp; ""</f>
        <v>#VALUE!</v>
      </c>
      <c r="BM60" s="2" t="e">
        <f>SUBSTITUTE(SUBSTITUTE(SUBSTITUTE(_参照テーブル[[#This Row],[list]], "'", ""),"[", ""), "]", "")</f>
        <v>#VALUE!</v>
      </c>
      <c r="BN60" s="2" t="e" cm="1">
        <f t="array" ref="BN60">MIN(VALUE(_xlfn.TEXTSPLIT(_参照テーブル[[#This Row],[conv]], ", ")))</f>
        <v>#VALUE!</v>
      </c>
      <c r="BO60" s="2" t="e" cm="1">
        <f t="array" ref="BO60">MAX(VALUE(_xlfn.TEXTSPLIT(_参照テーブル[[#This Row],[conv]], ", ")))</f>
        <v>#VALUE!</v>
      </c>
      <c r="BP60" s="2" t="str">
        <f>IFERROR("("&amp;_参照テーブル[[#This Row],[min]]&amp;"～"&amp;_参照テーブル[[#This Row],[max]]&amp;")","")</f>
        <v/>
      </c>
      <c r="BQ60" s="2" t="e">
        <f>変換前のテーブル[[#This Row],[min_max]]</f>
        <v>#VALUE!</v>
      </c>
      <c r="BR60" s="2" t="e">
        <f>SUBSTITUTE(SUBSTITUTE(_参照テーブル[[#This Row],[list2]],"[",""),"]","")</f>
        <v>#VALUE!</v>
      </c>
      <c r="BS60" s="2" t="e" cm="1">
        <f t="array" ref="BS60">_xlfn.CHOOSECOLS(_xlfn.TEXTSPLIT(_参照テーブル[[#This Row],[list2_]],","),1)</f>
        <v>#VALUE!</v>
      </c>
      <c r="BT60" s="2" t="e" cm="1">
        <f t="array" ref="BT60">_xlfn.CHOOSECOLS(_xlfn.TEXTSPLIT(_参照テーブル[[#This Row],[list2_]],","),2)</f>
        <v>#VALUE!</v>
      </c>
      <c r="BU60" s="2" t="str">
        <f>IFERROR("("&amp;_参照テーブル[[#This Row],[min_]]&amp;"～"&amp;_参照テーブル[[#This Row],[max_]]&amp;")", "")</f>
        <v/>
      </c>
    </row>
    <row r="61" spans="63:73">
      <c r="BK61" s="2">
        <f t="shared" si="3"/>
        <v>59</v>
      </c>
      <c r="BL61" s="2" t="e">
        <f>変換前のテーブル[[#This Row],[list_item]] &amp; ""</f>
        <v>#VALUE!</v>
      </c>
      <c r="BM61" s="2" t="e">
        <f>SUBSTITUTE(SUBSTITUTE(SUBSTITUTE(_参照テーブル[[#This Row],[list]], "'", ""),"[", ""), "]", "")</f>
        <v>#VALUE!</v>
      </c>
      <c r="BN61" s="2" t="e" cm="1">
        <f t="array" ref="BN61">MIN(VALUE(_xlfn.TEXTSPLIT(_参照テーブル[[#This Row],[conv]], ", ")))</f>
        <v>#VALUE!</v>
      </c>
      <c r="BO61" s="2" t="e" cm="1">
        <f t="array" ref="BO61">MAX(VALUE(_xlfn.TEXTSPLIT(_参照テーブル[[#This Row],[conv]], ", ")))</f>
        <v>#VALUE!</v>
      </c>
      <c r="BP61" s="2" t="str">
        <f>IFERROR("("&amp;_参照テーブル[[#This Row],[min]]&amp;"～"&amp;_参照テーブル[[#This Row],[max]]&amp;")","")</f>
        <v/>
      </c>
      <c r="BQ61" s="2" t="e">
        <f>変換前のテーブル[[#This Row],[min_max]]</f>
        <v>#VALUE!</v>
      </c>
      <c r="BR61" s="2" t="e">
        <f>SUBSTITUTE(SUBSTITUTE(_参照テーブル[[#This Row],[list2]],"[",""),"]","")</f>
        <v>#VALUE!</v>
      </c>
      <c r="BS61" s="2" t="e" cm="1">
        <f t="array" ref="BS61">_xlfn.CHOOSECOLS(_xlfn.TEXTSPLIT(_参照テーブル[[#This Row],[list2_]],","),1)</f>
        <v>#VALUE!</v>
      </c>
      <c r="BT61" s="2" t="e" cm="1">
        <f t="array" ref="BT61">_xlfn.CHOOSECOLS(_xlfn.TEXTSPLIT(_参照テーブル[[#This Row],[list2_]],","),2)</f>
        <v>#VALUE!</v>
      </c>
      <c r="BU61" s="2" t="str">
        <f>IFERROR("("&amp;_参照テーブル[[#This Row],[min_]]&amp;"～"&amp;_参照テーブル[[#This Row],[max_]]&amp;")", "")</f>
        <v/>
      </c>
    </row>
    <row r="62" spans="63:73">
      <c r="BK62" s="2">
        <f t="shared" si="3"/>
        <v>60</v>
      </c>
      <c r="BL62" s="2" t="e">
        <f>変換前のテーブル[[#This Row],[list_item]] &amp; ""</f>
        <v>#VALUE!</v>
      </c>
      <c r="BM62" s="2" t="e">
        <f>SUBSTITUTE(SUBSTITUTE(SUBSTITUTE(_参照テーブル[[#This Row],[list]], "'", ""),"[", ""), "]", "")</f>
        <v>#VALUE!</v>
      </c>
      <c r="BN62" s="2" t="e" cm="1">
        <f t="array" ref="BN62">MIN(VALUE(_xlfn.TEXTSPLIT(_参照テーブル[[#This Row],[conv]], ", ")))</f>
        <v>#VALUE!</v>
      </c>
      <c r="BO62" s="2" t="e" cm="1">
        <f t="array" ref="BO62">MAX(VALUE(_xlfn.TEXTSPLIT(_参照テーブル[[#This Row],[conv]], ", ")))</f>
        <v>#VALUE!</v>
      </c>
      <c r="BP62" s="2" t="str">
        <f>IFERROR("("&amp;_参照テーブル[[#This Row],[min]]&amp;"～"&amp;_参照テーブル[[#This Row],[max]]&amp;")","")</f>
        <v/>
      </c>
      <c r="BQ62" s="2" t="e">
        <f>変換前のテーブル[[#This Row],[min_max]]</f>
        <v>#VALUE!</v>
      </c>
      <c r="BR62" s="2" t="e">
        <f>SUBSTITUTE(SUBSTITUTE(_参照テーブル[[#This Row],[list2]],"[",""),"]","")</f>
        <v>#VALUE!</v>
      </c>
      <c r="BS62" s="2" t="e" cm="1">
        <f t="array" ref="BS62">_xlfn.CHOOSECOLS(_xlfn.TEXTSPLIT(_参照テーブル[[#This Row],[list2_]],","),1)</f>
        <v>#VALUE!</v>
      </c>
      <c r="BT62" s="2" t="e" cm="1">
        <f t="array" ref="BT62">_xlfn.CHOOSECOLS(_xlfn.TEXTSPLIT(_参照テーブル[[#This Row],[list2_]],","),2)</f>
        <v>#VALUE!</v>
      </c>
      <c r="BU62" s="2" t="str">
        <f>IFERROR("("&amp;_参照テーブル[[#This Row],[min_]]&amp;"～"&amp;_参照テーブル[[#This Row],[max_]]&amp;")", "")</f>
        <v/>
      </c>
    </row>
    <row r="63" spans="63:73">
      <c r="BK63" s="2">
        <f t="shared" si="3"/>
        <v>61</v>
      </c>
      <c r="BL63" s="2" t="e">
        <f>変換前のテーブル[[#This Row],[list_item]] &amp; ""</f>
        <v>#VALUE!</v>
      </c>
      <c r="BM63" s="2" t="e">
        <f>SUBSTITUTE(SUBSTITUTE(SUBSTITUTE(_参照テーブル[[#This Row],[list]], "'", ""),"[", ""), "]", "")</f>
        <v>#VALUE!</v>
      </c>
      <c r="BN63" s="2" t="e" cm="1">
        <f t="array" ref="BN63">MIN(VALUE(_xlfn.TEXTSPLIT(_参照テーブル[[#This Row],[conv]], ", ")))</f>
        <v>#VALUE!</v>
      </c>
      <c r="BO63" s="2" t="e" cm="1">
        <f t="array" ref="BO63">MAX(VALUE(_xlfn.TEXTSPLIT(_参照テーブル[[#This Row],[conv]], ", ")))</f>
        <v>#VALUE!</v>
      </c>
      <c r="BP63" s="2" t="str">
        <f>IFERROR("("&amp;_参照テーブル[[#This Row],[min]]&amp;"～"&amp;_参照テーブル[[#This Row],[max]]&amp;")","")</f>
        <v/>
      </c>
      <c r="BQ63" s="2" t="e">
        <f>変換前のテーブル[[#This Row],[min_max]]</f>
        <v>#VALUE!</v>
      </c>
      <c r="BR63" s="2" t="e">
        <f>SUBSTITUTE(SUBSTITUTE(_参照テーブル[[#This Row],[list2]],"[",""),"]","")</f>
        <v>#VALUE!</v>
      </c>
      <c r="BS63" s="2" t="e" cm="1">
        <f t="array" ref="BS63">_xlfn.CHOOSECOLS(_xlfn.TEXTSPLIT(_参照テーブル[[#This Row],[list2_]],","),1)</f>
        <v>#VALUE!</v>
      </c>
      <c r="BT63" s="2" t="e" cm="1">
        <f t="array" ref="BT63">_xlfn.CHOOSECOLS(_xlfn.TEXTSPLIT(_参照テーブル[[#This Row],[list2_]],","),2)</f>
        <v>#VALUE!</v>
      </c>
      <c r="BU63" s="2" t="str">
        <f>IFERROR("("&amp;_参照テーブル[[#This Row],[min_]]&amp;"～"&amp;_参照テーブル[[#This Row],[max_]]&amp;")", "")</f>
        <v/>
      </c>
    </row>
    <row r="64" spans="63:73">
      <c r="BK64" s="2">
        <f t="shared" si="3"/>
        <v>62</v>
      </c>
      <c r="BL64" s="2" t="e">
        <f>変換前のテーブル[[#This Row],[list_item]] &amp; ""</f>
        <v>#VALUE!</v>
      </c>
      <c r="BM64" s="2" t="e">
        <f>SUBSTITUTE(SUBSTITUTE(SUBSTITUTE(_参照テーブル[[#This Row],[list]], "'", ""),"[", ""), "]", "")</f>
        <v>#VALUE!</v>
      </c>
      <c r="BN64" s="2" t="e" cm="1">
        <f t="array" ref="BN64">MIN(VALUE(_xlfn.TEXTSPLIT(_参照テーブル[[#This Row],[conv]], ", ")))</f>
        <v>#VALUE!</v>
      </c>
      <c r="BO64" s="2" t="e" cm="1">
        <f t="array" ref="BO64">MAX(VALUE(_xlfn.TEXTSPLIT(_参照テーブル[[#This Row],[conv]], ", ")))</f>
        <v>#VALUE!</v>
      </c>
      <c r="BP64" s="2" t="str">
        <f>IFERROR("("&amp;_参照テーブル[[#This Row],[min]]&amp;"～"&amp;_参照テーブル[[#This Row],[max]]&amp;")","")</f>
        <v/>
      </c>
      <c r="BQ64" s="2" t="e">
        <f>変換前のテーブル[[#This Row],[min_max]]</f>
        <v>#VALUE!</v>
      </c>
      <c r="BR64" s="2" t="e">
        <f>SUBSTITUTE(SUBSTITUTE(_参照テーブル[[#This Row],[list2]],"[",""),"]","")</f>
        <v>#VALUE!</v>
      </c>
      <c r="BS64" s="2" t="e" cm="1">
        <f t="array" ref="BS64">_xlfn.CHOOSECOLS(_xlfn.TEXTSPLIT(_参照テーブル[[#This Row],[list2_]],","),1)</f>
        <v>#VALUE!</v>
      </c>
      <c r="BT64" s="2" t="e" cm="1">
        <f t="array" ref="BT64">_xlfn.CHOOSECOLS(_xlfn.TEXTSPLIT(_参照テーブル[[#This Row],[list2_]],","),2)</f>
        <v>#VALUE!</v>
      </c>
      <c r="BU64" s="2" t="str">
        <f>IFERROR("("&amp;_参照テーブル[[#This Row],[min_]]&amp;"～"&amp;_参照テーブル[[#This Row],[max_]]&amp;")", "")</f>
        <v/>
      </c>
    </row>
    <row r="65" spans="63:73">
      <c r="BK65" s="2">
        <f t="shared" si="3"/>
        <v>63</v>
      </c>
      <c r="BL65" s="2" t="e">
        <f>変換前のテーブル[[#This Row],[list_item]] &amp; ""</f>
        <v>#VALUE!</v>
      </c>
      <c r="BM65" s="2" t="e">
        <f>SUBSTITUTE(SUBSTITUTE(SUBSTITUTE(_参照テーブル[[#This Row],[list]], "'", ""),"[", ""), "]", "")</f>
        <v>#VALUE!</v>
      </c>
      <c r="BN65" s="2" t="e" cm="1">
        <f t="array" ref="BN65">MIN(VALUE(_xlfn.TEXTSPLIT(_参照テーブル[[#This Row],[conv]], ", ")))</f>
        <v>#VALUE!</v>
      </c>
      <c r="BO65" s="2" t="e" cm="1">
        <f t="array" ref="BO65">MAX(VALUE(_xlfn.TEXTSPLIT(_参照テーブル[[#This Row],[conv]], ", ")))</f>
        <v>#VALUE!</v>
      </c>
      <c r="BP65" s="2" t="str">
        <f>IFERROR("("&amp;_参照テーブル[[#This Row],[min]]&amp;"～"&amp;_参照テーブル[[#This Row],[max]]&amp;")","")</f>
        <v/>
      </c>
      <c r="BQ65" s="2" t="e">
        <f>変換前のテーブル[[#This Row],[min_max]]</f>
        <v>#VALUE!</v>
      </c>
      <c r="BR65" s="2" t="e">
        <f>SUBSTITUTE(SUBSTITUTE(_参照テーブル[[#This Row],[list2]],"[",""),"]","")</f>
        <v>#VALUE!</v>
      </c>
      <c r="BS65" s="2" t="e" cm="1">
        <f t="array" ref="BS65">_xlfn.CHOOSECOLS(_xlfn.TEXTSPLIT(_参照テーブル[[#This Row],[list2_]],","),1)</f>
        <v>#VALUE!</v>
      </c>
      <c r="BT65" s="2" t="e" cm="1">
        <f t="array" ref="BT65">_xlfn.CHOOSECOLS(_xlfn.TEXTSPLIT(_参照テーブル[[#This Row],[list2_]],","),2)</f>
        <v>#VALUE!</v>
      </c>
      <c r="BU65" s="2" t="str">
        <f>IFERROR("("&amp;_参照テーブル[[#This Row],[min_]]&amp;"～"&amp;_参照テーブル[[#This Row],[max_]]&amp;")", "")</f>
        <v/>
      </c>
    </row>
    <row r="66" spans="63:73">
      <c r="BK66" s="2">
        <f t="shared" si="3"/>
        <v>64</v>
      </c>
      <c r="BL66" s="2" t="e">
        <f>変換前のテーブル[[#This Row],[list_item]] &amp; ""</f>
        <v>#VALUE!</v>
      </c>
      <c r="BM66" s="2" t="e">
        <f>SUBSTITUTE(SUBSTITUTE(SUBSTITUTE(_参照テーブル[[#This Row],[list]], "'", ""),"[", ""), "]", "")</f>
        <v>#VALUE!</v>
      </c>
      <c r="BN66" s="2" t="e" cm="1">
        <f t="array" ref="BN66">MIN(VALUE(_xlfn.TEXTSPLIT(_参照テーブル[[#This Row],[conv]], ", ")))</f>
        <v>#VALUE!</v>
      </c>
      <c r="BO66" s="2" t="e" cm="1">
        <f t="array" ref="BO66">MAX(VALUE(_xlfn.TEXTSPLIT(_参照テーブル[[#This Row],[conv]], ", ")))</f>
        <v>#VALUE!</v>
      </c>
      <c r="BP66" s="2" t="str">
        <f>IFERROR("("&amp;_参照テーブル[[#This Row],[min]]&amp;"～"&amp;_参照テーブル[[#This Row],[max]]&amp;")","")</f>
        <v/>
      </c>
      <c r="BQ66" s="2" t="e">
        <f>変換前のテーブル[[#This Row],[min_max]]</f>
        <v>#VALUE!</v>
      </c>
      <c r="BR66" s="2" t="e">
        <f>SUBSTITUTE(SUBSTITUTE(_参照テーブル[[#This Row],[list2]],"[",""),"]","")</f>
        <v>#VALUE!</v>
      </c>
      <c r="BS66" s="2" t="e" cm="1">
        <f t="array" ref="BS66">_xlfn.CHOOSECOLS(_xlfn.TEXTSPLIT(_参照テーブル[[#This Row],[list2_]],","),1)</f>
        <v>#VALUE!</v>
      </c>
      <c r="BT66" s="2" t="e" cm="1">
        <f t="array" ref="BT66">_xlfn.CHOOSECOLS(_xlfn.TEXTSPLIT(_参照テーブル[[#This Row],[list2_]],","),2)</f>
        <v>#VALUE!</v>
      </c>
      <c r="BU66" s="2" t="str">
        <f>IFERROR("("&amp;_参照テーブル[[#This Row],[min_]]&amp;"～"&amp;_参照テーブル[[#This Row],[max_]]&amp;")", "")</f>
        <v/>
      </c>
    </row>
    <row r="67" spans="63:73">
      <c r="BK67" s="2">
        <f t="shared" si="3"/>
        <v>65</v>
      </c>
      <c r="BL67" s="2" t="e">
        <f>変換前のテーブル[[#This Row],[list_item]] &amp; ""</f>
        <v>#VALUE!</v>
      </c>
      <c r="BM67" s="2" t="e">
        <f>SUBSTITUTE(SUBSTITUTE(SUBSTITUTE(_参照テーブル[[#This Row],[list]], "'", ""),"[", ""), "]", "")</f>
        <v>#VALUE!</v>
      </c>
      <c r="BN67" s="2" t="e" cm="1">
        <f t="array" ref="BN67">MIN(VALUE(_xlfn.TEXTSPLIT(_参照テーブル[[#This Row],[conv]], ", ")))</f>
        <v>#VALUE!</v>
      </c>
      <c r="BO67" s="2" t="e" cm="1">
        <f t="array" ref="BO67">MAX(VALUE(_xlfn.TEXTSPLIT(_参照テーブル[[#This Row],[conv]], ", ")))</f>
        <v>#VALUE!</v>
      </c>
      <c r="BP67" s="2" t="str">
        <f>IFERROR("("&amp;_参照テーブル[[#This Row],[min]]&amp;"～"&amp;_参照テーブル[[#This Row],[max]]&amp;")","")</f>
        <v/>
      </c>
      <c r="BQ67" s="2" t="e">
        <f>変換前のテーブル[[#This Row],[min_max]]</f>
        <v>#VALUE!</v>
      </c>
      <c r="BR67" s="2" t="e">
        <f>SUBSTITUTE(SUBSTITUTE(_参照テーブル[[#This Row],[list2]],"[",""),"]","")</f>
        <v>#VALUE!</v>
      </c>
      <c r="BS67" s="2" t="e" cm="1">
        <f t="array" ref="BS67">_xlfn.CHOOSECOLS(_xlfn.TEXTSPLIT(_参照テーブル[[#This Row],[list2_]],","),1)</f>
        <v>#VALUE!</v>
      </c>
      <c r="BT67" s="2" t="e" cm="1">
        <f t="array" ref="BT67">_xlfn.CHOOSECOLS(_xlfn.TEXTSPLIT(_参照テーブル[[#This Row],[list2_]],","),2)</f>
        <v>#VALUE!</v>
      </c>
      <c r="BU67" s="2" t="str">
        <f>IFERROR("("&amp;_参照テーブル[[#This Row],[min_]]&amp;"～"&amp;_参照テーブル[[#This Row],[max_]]&amp;")", "")</f>
        <v/>
      </c>
    </row>
    <row r="68" spans="63:73">
      <c r="BK68" s="2">
        <f t="shared" ref="BK68:BK131" si="4">BK67+1</f>
        <v>66</v>
      </c>
      <c r="BL68" s="2" t="e">
        <f>変換前のテーブル[[#This Row],[list_item]] &amp; ""</f>
        <v>#VALUE!</v>
      </c>
      <c r="BM68" s="2" t="e">
        <f>SUBSTITUTE(SUBSTITUTE(SUBSTITUTE(_参照テーブル[[#This Row],[list]], "'", ""),"[", ""), "]", "")</f>
        <v>#VALUE!</v>
      </c>
      <c r="BN68" s="2" t="e" cm="1">
        <f t="array" ref="BN68">MIN(VALUE(_xlfn.TEXTSPLIT(_参照テーブル[[#This Row],[conv]], ", ")))</f>
        <v>#VALUE!</v>
      </c>
      <c r="BO68" s="2" t="e" cm="1">
        <f t="array" ref="BO68">MAX(VALUE(_xlfn.TEXTSPLIT(_参照テーブル[[#This Row],[conv]], ", ")))</f>
        <v>#VALUE!</v>
      </c>
      <c r="BP68" s="2" t="str">
        <f>IFERROR("("&amp;_参照テーブル[[#This Row],[min]]&amp;"～"&amp;_参照テーブル[[#This Row],[max]]&amp;")","")</f>
        <v/>
      </c>
      <c r="BQ68" s="2" t="e">
        <f>変換前のテーブル[[#This Row],[min_max]]</f>
        <v>#VALUE!</v>
      </c>
      <c r="BR68" s="2" t="e">
        <f>SUBSTITUTE(SUBSTITUTE(_参照テーブル[[#This Row],[list2]],"[",""),"]","")</f>
        <v>#VALUE!</v>
      </c>
      <c r="BS68" s="2" t="e" cm="1">
        <f t="array" ref="BS68">_xlfn.CHOOSECOLS(_xlfn.TEXTSPLIT(_参照テーブル[[#This Row],[list2_]],","),1)</f>
        <v>#VALUE!</v>
      </c>
      <c r="BT68" s="2" t="e" cm="1">
        <f t="array" ref="BT68">_xlfn.CHOOSECOLS(_xlfn.TEXTSPLIT(_参照テーブル[[#This Row],[list2_]],","),2)</f>
        <v>#VALUE!</v>
      </c>
      <c r="BU68" s="2" t="str">
        <f>IFERROR("("&amp;_参照テーブル[[#This Row],[min_]]&amp;"～"&amp;_参照テーブル[[#This Row],[max_]]&amp;")", "")</f>
        <v/>
      </c>
    </row>
    <row r="69" spans="63:73">
      <c r="BK69" s="2">
        <f t="shared" si="4"/>
        <v>67</v>
      </c>
      <c r="BL69" s="2" t="e">
        <f>変換前のテーブル[[#This Row],[list_item]] &amp; ""</f>
        <v>#VALUE!</v>
      </c>
      <c r="BM69" s="2" t="e">
        <f>SUBSTITUTE(SUBSTITUTE(SUBSTITUTE(_参照テーブル[[#This Row],[list]], "'", ""),"[", ""), "]", "")</f>
        <v>#VALUE!</v>
      </c>
      <c r="BN69" s="2" t="e" cm="1">
        <f t="array" ref="BN69">MIN(VALUE(_xlfn.TEXTSPLIT(_参照テーブル[[#This Row],[conv]], ", ")))</f>
        <v>#VALUE!</v>
      </c>
      <c r="BO69" s="2" t="e" cm="1">
        <f t="array" ref="BO69">MAX(VALUE(_xlfn.TEXTSPLIT(_参照テーブル[[#This Row],[conv]], ", ")))</f>
        <v>#VALUE!</v>
      </c>
      <c r="BP69" s="2" t="str">
        <f>IFERROR("("&amp;_参照テーブル[[#This Row],[min]]&amp;"～"&amp;_参照テーブル[[#This Row],[max]]&amp;")","")</f>
        <v/>
      </c>
      <c r="BQ69" s="2" t="e">
        <f>変換前のテーブル[[#This Row],[min_max]]</f>
        <v>#VALUE!</v>
      </c>
      <c r="BR69" s="2" t="e">
        <f>SUBSTITUTE(SUBSTITUTE(_参照テーブル[[#This Row],[list2]],"[",""),"]","")</f>
        <v>#VALUE!</v>
      </c>
      <c r="BS69" s="2" t="e" cm="1">
        <f t="array" ref="BS69">_xlfn.CHOOSECOLS(_xlfn.TEXTSPLIT(_参照テーブル[[#This Row],[list2_]],","),1)</f>
        <v>#VALUE!</v>
      </c>
      <c r="BT69" s="2" t="e" cm="1">
        <f t="array" ref="BT69">_xlfn.CHOOSECOLS(_xlfn.TEXTSPLIT(_参照テーブル[[#This Row],[list2_]],","),2)</f>
        <v>#VALUE!</v>
      </c>
      <c r="BU69" s="2" t="str">
        <f>IFERROR("("&amp;_参照テーブル[[#This Row],[min_]]&amp;"～"&amp;_参照テーブル[[#This Row],[max_]]&amp;")", "")</f>
        <v/>
      </c>
    </row>
    <row r="70" spans="63:73">
      <c r="BK70" s="2">
        <f t="shared" si="4"/>
        <v>68</v>
      </c>
      <c r="BL70" s="2" t="e">
        <f>変換前のテーブル[[#This Row],[list_item]] &amp; ""</f>
        <v>#VALUE!</v>
      </c>
      <c r="BM70" s="2" t="e">
        <f>SUBSTITUTE(SUBSTITUTE(SUBSTITUTE(_参照テーブル[[#This Row],[list]], "'", ""),"[", ""), "]", "")</f>
        <v>#VALUE!</v>
      </c>
      <c r="BN70" s="2" t="e" cm="1">
        <f t="array" ref="BN70">MIN(VALUE(_xlfn.TEXTSPLIT(_参照テーブル[[#This Row],[conv]], ", ")))</f>
        <v>#VALUE!</v>
      </c>
      <c r="BO70" s="2" t="e" cm="1">
        <f t="array" ref="BO70">MAX(VALUE(_xlfn.TEXTSPLIT(_参照テーブル[[#This Row],[conv]], ", ")))</f>
        <v>#VALUE!</v>
      </c>
      <c r="BP70" s="2" t="str">
        <f>IFERROR("("&amp;_参照テーブル[[#This Row],[min]]&amp;"～"&amp;_参照テーブル[[#This Row],[max]]&amp;")","")</f>
        <v/>
      </c>
      <c r="BQ70" s="2" t="e">
        <f>変換前のテーブル[[#This Row],[min_max]]</f>
        <v>#VALUE!</v>
      </c>
      <c r="BR70" s="2" t="e">
        <f>SUBSTITUTE(SUBSTITUTE(_参照テーブル[[#This Row],[list2]],"[",""),"]","")</f>
        <v>#VALUE!</v>
      </c>
      <c r="BS70" s="2" t="e" cm="1">
        <f t="array" ref="BS70">_xlfn.CHOOSECOLS(_xlfn.TEXTSPLIT(_参照テーブル[[#This Row],[list2_]],","),1)</f>
        <v>#VALUE!</v>
      </c>
      <c r="BT70" s="2" t="e" cm="1">
        <f t="array" ref="BT70">_xlfn.CHOOSECOLS(_xlfn.TEXTSPLIT(_参照テーブル[[#This Row],[list2_]],","),2)</f>
        <v>#VALUE!</v>
      </c>
      <c r="BU70" s="2" t="str">
        <f>IFERROR("("&amp;_参照テーブル[[#This Row],[min_]]&amp;"～"&amp;_参照テーブル[[#This Row],[max_]]&amp;")", "")</f>
        <v/>
      </c>
    </row>
    <row r="71" spans="63:73">
      <c r="BK71" s="2">
        <f t="shared" si="4"/>
        <v>69</v>
      </c>
      <c r="BL71" s="2" t="e">
        <f>変換前のテーブル[[#This Row],[list_item]] &amp; ""</f>
        <v>#VALUE!</v>
      </c>
      <c r="BM71" s="2" t="e">
        <f>SUBSTITUTE(SUBSTITUTE(SUBSTITUTE(_参照テーブル[[#This Row],[list]], "'", ""),"[", ""), "]", "")</f>
        <v>#VALUE!</v>
      </c>
      <c r="BN71" s="2" t="e" cm="1">
        <f t="array" ref="BN71">MIN(VALUE(_xlfn.TEXTSPLIT(_参照テーブル[[#This Row],[conv]], ", ")))</f>
        <v>#VALUE!</v>
      </c>
      <c r="BO71" s="2" t="e" cm="1">
        <f t="array" ref="BO71">MAX(VALUE(_xlfn.TEXTSPLIT(_参照テーブル[[#This Row],[conv]], ", ")))</f>
        <v>#VALUE!</v>
      </c>
      <c r="BP71" s="2" t="str">
        <f>IFERROR("("&amp;_参照テーブル[[#This Row],[min]]&amp;"～"&amp;_参照テーブル[[#This Row],[max]]&amp;")","")</f>
        <v/>
      </c>
      <c r="BQ71" s="2" t="e">
        <f>変換前のテーブル[[#This Row],[min_max]]</f>
        <v>#VALUE!</v>
      </c>
      <c r="BR71" s="2" t="e">
        <f>SUBSTITUTE(SUBSTITUTE(_参照テーブル[[#This Row],[list2]],"[",""),"]","")</f>
        <v>#VALUE!</v>
      </c>
      <c r="BS71" s="2" t="e" cm="1">
        <f t="array" ref="BS71">_xlfn.CHOOSECOLS(_xlfn.TEXTSPLIT(_参照テーブル[[#This Row],[list2_]],","),1)</f>
        <v>#VALUE!</v>
      </c>
      <c r="BT71" s="2" t="e" cm="1">
        <f t="array" ref="BT71">_xlfn.CHOOSECOLS(_xlfn.TEXTSPLIT(_参照テーブル[[#This Row],[list2_]],","),2)</f>
        <v>#VALUE!</v>
      </c>
      <c r="BU71" s="2" t="str">
        <f>IFERROR("("&amp;_参照テーブル[[#This Row],[min_]]&amp;"～"&amp;_参照テーブル[[#This Row],[max_]]&amp;")", "")</f>
        <v/>
      </c>
    </row>
    <row r="72" spans="63:73">
      <c r="BK72" s="2">
        <f t="shared" si="4"/>
        <v>70</v>
      </c>
      <c r="BL72" s="2" t="e">
        <f>変換前のテーブル[[#This Row],[list_item]] &amp; ""</f>
        <v>#VALUE!</v>
      </c>
      <c r="BM72" s="2" t="e">
        <f>SUBSTITUTE(SUBSTITUTE(SUBSTITUTE(_参照テーブル[[#This Row],[list]], "'", ""),"[", ""), "]", "")</f>
        <v>#VALUE!</v>
      </c>
      <c r="BN72" s="2" t="e" cm="1">
        <f t="array" ref="BN72">MIN(VALUE(_xlfn.TEXTSPLIT(_参照テーブル[[#This Row],[conv]], ", ")))</f>
        <v>#VALUE!</v>
      </c>
      <c r="BO72" s="2" t="e" cm="1">
        <f t="array" ref="BO72">MAX(VALUE(_xlfn.TEXTSPLIT(_参照テーブル[[#This Row],[conv]], ", ")))</f>
        <v>#VALUE!</v>
      </c>
      <c r="BP72" s="2" t="str">
        <f>IFERROR("("&amp;_参照テーブル[[#This Row],[min]]&amp;"～"&amp;_参照テーブル[[#This Row],[max]]&amp;")","")</f>
        <v/>
      </c>
      <c r="BQ72" s="2" t="e">
        <f>変換前のテーブル[[#This Row],[min_max]]</f>
        <v>#VALUE!</v>
      </c>
      <c r="BR72" s="2" t="e">
        <f>SUBSTITUTE(SUBSTITUTE(_参照テーブル[[#This Row],[list2]],"[",""),"]","")</f>
        <v>#VALUE!</v>
      </c>
      <c r="BS72" s="2" t="e" cm="1">
        <f t="array" ref="BS72">_xlfn.CHOOSECOLS(_xlfn.TEXTSPLIT(_参照テーブル[[#This Row],[list2_]],","),1)</f>
        <v>#VALUE!</v>
      </c>
      <c r="BT72" s="2" t="e" cm="1">
        <f t="array" ref="BT72">_xlfn.CHOOSECOLS(_xlfn.TEXTSPLIT(_参照テーブル[[#This Row],[list2_]],","),2)</f>
        <v>#VALUE!</v>
      </c>
      <c r="BU72" s="2" t="str">
        <f>IFERROR("("&amp;_参照テーブル[[#This Row],[min_]]&amp;"～"&amp;_参照テーブル[[#This Row],[max_]]&amp;")", "")</f>
        <v/>
      </c>
    </row>
    <row r="73" spans="63:73">
      <c r="BK73" s="2">
        <f t="shared" si="4"/>
        <v>71</v>
      </c>
      <c r="BL73" s="2" t="e">
        <f>変換前のテーブル[[#This Row],[list_item]] &amp; ""</f>
        <v>#VALUE!</v>
      </c>
      <c r="BM73" s="2" t="e">
        <f>SUBSTITUTE(SUBSTITUTE(SUBSTITUTE(_参照テーブル[[#This Row],[list]], "'", ""),"[", ""), "]", "")</f>
        <v>#VALUE!</v>
      </c>
      <c r="BN73" s="2" t="e" cm="1">
        <f t="array" ref="BN73">MIN(VALUE(_xlfn.TEXTSPLIT(_参照テーブル[[#This Row],[conv]], ", ")))</f>
        <v>#VALUE!</v>
      </c>
      <c r="BO73" s="2" t="e" cm="1">
        <f t="array" ref="BO73">MAX(VALUE(_xlfn.TEXTSPLIT(_参照テーブル[[#This Row],[conv]], ", ")))</f>
        <v>#VALUE!</v>
      </c>
      <c r="BP73" s="2" t="str">
        <f>IFERROR("("&amp;_参照テーブル[[#This Row],[min]]&amp;"～"&amp;_参照テーブル[[#This Row],[max]]&amp;")","")</f>
        <v/>
      </c>
      <c r="BQ73" s="2" t="e">
        <f>変換前のテーブル[[#This Row],[min_max]]</f>
        <v>#VALUE!</v>
      </c>
      <c r="BR73" s="2" t="e">
        <f>SUBSTITUTE(SUBSTITUTE(_参照テーブル[[#This Row],[list2]],"[",""),"]","")</f>
        <v>#VALUE!</v>
      </c>
      <c r="BS73" s="2" t="e" cm="1">
        <f t="array" ref="BS73">_xlfn.CHOOSECOLS(_xlfn.TEXTSPLIT(_参照テーブル[[#This Row],[list2_]],","),1)</f>
        <v>#VALUE!</v>
      </c>
      <c r="BT73" s="2" t="e" cm="1">
        <f t="array" ref="BT73">_xlfn.CHOOSECOLS(_xlfn.TEXTSPLIT(_参照テーブル[[#This Row],[list2_]],","),2)</f>
        <v>#VALUE!</v>
      </c>
      <c r="BU73" s="2" t="str">
        <f>IFERROR("("&amp;_参照テーブル[[#This Row],[min_]]&amp;"～"&amp;_参照テーブル[[#This Row],[max_]]&amp;")", "")</f>
        <v/>
      </c>
    </row>
    <row r="74" spans="63:73">
      <c r="BK74" s="2">
        <f t="shared" si="4"/>
        <v>72</v>
      </c>
      <c r="BL74" s="2" t="e">
        <f>変換前のテーブル[[#This Row],[list_item]] &amp; ""</f>
        <v>#VALUE!</v>
      </c>
      <c r="BM74" s="2" t="e">
        <f>SUBSTITUTE(SUBSTITUTE(SUBSTITUTE(_参照テーブル[[#This Row],[list]], "'", ""),"[", ""), "]", "")</f>
        <v>#VALUE!</v>
      </c>
      <c r="BN74" s="2" t="e" cm="1">
        <f t="array" ref="BN74">MIN(VALUE(_xlfn.TEXTSPLIT(_参照テーブル[[#This Row],[conv]], ", ")))</f>
        <v>#VALUE!</v>
      </c>
      <c r="BO74" s="2" t="e" cm="1">
        <f t="array" ref="BO74">MAX(VALUE(_xlfn.TEXTSPLIT(_参照テーブル[[#This Row],[conv]], ", ")))</f>
        <v>#VALUE!</v>
      </c>
      <c r="BP74" s="2" t="str">
        <f>IFERROR("("&amp;_参照テーブル[[#This Row],[min]]&amp;"～"&amp;_参照テーブル[[#This Row],[max]]&amp;")","")</f>
        <v/>
      </c>
      <c r="BQ74" s="2" t="e">
        <f>変換前のテーブル[[#This Row],[min_max]]</f>
        <v>#VALUE!</v>
      </c>
      <c r="BR74" s="2" t="e">
        <f>SUBSTITUTE(SUBSTITUTE(_参照テーブル[[#This Row],[list2]],"[",""),"]","")</f>
        <v>#VALUE!</v>
      </c>
      <c r="BS74" s="2" t="e" cm="1">
        <f t="array" ref="BS74">_xlfn.CHOOSECOLS(_xlfn.TEXTSPLIT(_参照テーブル[[#This Row],[list2_]],","),1)</f>
        <v>#VALUE!</v>
      </c>
      <c r="BT74" s="2" t="e" cm="1">
        <f t="array" ref="BT74">_xlfn.CHOOSECOLS(_xlfn.TEXTSPLIT(_参照テーブル[[#This Row],[list2_]],","),2)</f>
        <v>#VALUE!</v>
      </c>
      <c r="BU74" s="2" t="str">
        <f>IFERROR("("&amp;_参照テーブル[[#This Row],[min_]]&amp;"～"&amp;_参照テーブル[[#This Row],[max_]]&amp;")", "")</f>
        <v/>
      </c>
    </row>
    <row r="75" spans="63:73">
      <c r="BK75" s="2">
        <f t="shared" si="4"/>
        <v>73</v>
      </c>
      <c r="BL75" s="2" t="e">
        <f>変換前のテーブル[[#This Row],[list_item]] &amp; ""</f>
        <v>#VALUE!</v>
      </c>
      <c r="BM75" s="2" t="e">
        <f>SUBSTITUTE(SUBSTITUTE(SUBSTITUTE(_参照テーブル[[#This Row],[list]], "'", ""),"[", ""), "]", "")</f>
        <v>#VALUE!</v>
      </c>
      <c r="BN75" s="2" t="e" cm="1">
        <f t="array" ref="BN75">MIN(VALUE(_xlfn.TEXTSPLIT(_参照テーブル[[#This Row],[conv]], ", ")))</f>
        <v>#VALUE!</v>
      </c>
      <c r="BO75" s="2" t="e" cm="1">
        <f t="array" ref="BO75">MAX(VALUE(_xlfn.TEXTSPLIT(_参照テーブル[[#This Row],[conv]], ", ")))</f>
        <v>#VALUE!</v>
      </c>
      <c r="BP75" s="2" t="str">
        <f>IFERROR("("&amp;_参照テーブル[[#This Row],[min]]&amp;"～"&amp;_参照テーブル[[#This Row],[max]]&amp;")","")</f>
        <v/>
      </c>
      <c r="BQ75" s="2" t="e">
        <f>変換前のテーブル[[#This Row],[min_max]]</f>
        <v>#VALUE!</v>
      </c>
      <c r="BR75" s="2" t="e">
        <f>SUBSTITUTE(SUBSTITUTE(_参照テーブル[[#This Row],[list2]],"[",""),"]","")</f>
        <v>#VALUE!</v>
      </c>
      <c r="BS75" s="2" t="e" cm="1">
        <f t="array" ref="BS75">_xlfn.CHOOSECOLS(_xlfn.TEXTSPLIT(_参照テーブル[[#This Row],[list2_]],","),1)</f>
        <v>#VALUE!</v>
      </c>
      <c r="BT75" s="2" t="e" cm="1">
        <f t="array" ref="BT75">_xlfn.CHOOSECOLS(_xlfn.TEXTSPLIT(_参照テーブル[[#This Row],[list2_]],","),2)</f>
        <v>#VALUE!</v>
      </c>
      <c r="BU75" s="2" t="str">
        <f>IFERROR("("&amp;_参照テーブル[[#This Row],[min_]]&amp;"～"&amp;_参照テーブル[[#This Row],[max_]]&amp;")", "")</f>
        <v/>
      </c>
    </row>
    <row r="76" spans="63:73">
      <c r="BK76" s="2">
        <f t="shared" si="4"/>
        <v>74</v>
      </c>
      <c r="BL76" s="2" t="e">
        <f>変換前のテーブル[[#This Row],[list_item]] &amp; ""</f>
        <v>#VALUE!</v>
      </c>
      <c r="BM76" s="2" t="e">
        <f>SUBSTITUTE(SUBSTITUTE(SUBSTITUTE(_参照テーブル[[#This Row],[list]], "'", ""),"[", ""), "]", "")</f>
        <v>#VALUE!</v>
      </c>
      <c r="BN76" s="2" t="e" cm="1">
        <f t="array" ref="BN76">MIN(VALUE(_xlfn.TEXTSPLIT(_参照テーブル[[#This Row],[conv]], ", ")))</f>
        <v>#VALUE!</v>
      </c>
      <c r="BO76" s="2" t="e" cm="1">
        <f t="array" ref="BO76">MAX(VALUE(_xlfn.TEXTSPLIT(_参照テーブル[[#This Row],[conv]], ", ")))</f>
        <v>#VALUE!</v>
      </c>
      <c r="BP76" s="2" t="str">
        <f>IFERROR("("&amp;_参照テーブル[[#This Row],[min]]&amp;"～"&amp;_参照テーブル[[#This Row],[max]]&amp;")","")</f>
        <v/>
      </c>
      <c r="BQ76" s="2" t="e">
        <f>変換前のテーブル[[#This Row],[min_max]]</f>
        <v>#VALUE!</v>
      </c>
      <c r="BR76" s="2" t="e">
        <f>SUBSTITUTE(SUBSTITUTE(_参照テーブル[[#This Row],[list2]],"[",""),"]","")</f>
        <v>#VALUE!</v>
      </c>
      <c r="BS76" s="2" t="e" cm="1">
        <f t="array" ref="BS76">_xlfn.CHOOSECOLS(_xlfn.TEXTSPLIT(_参照テーブル[[#This Row],[list2_]],","),1)</f>
        <v>#VALUE!</v>
      </c>
      <c r="BT76" s="2" t="e" cm="1">
        <f t="array" ref="BT76">_xlfn.CHOOSECOLS(_xlfn.TEXTSPLIT(_参照テーブル[[#This Row],[list2_]],","),2)</f>
        <v>#VALUE!</v>
      </c>
      <c r="BU76" s="2" t="str">
        <f>IFERROR("("&amp;_参照テーブル[[#This Row],[min_]]&amp;"～"&amp;_参照テーブル[[#This Row],[max_]]&amp;")", "")</f>
        <v/>
      </c>
    </row>
    <row r="77" spans="63:73">
      <c r="BK77" s="2">
        <f t="shared" si="4"/>
        <v>75</v>
      </c>
      <c r="BL77" s="2" t="e">
        <f>変換前のテーブル[[#This Row],[list_item]] &amp; ""</f>
        <v>#VALUE!</v>
      </c>
      <c r="BM77" s="2" t="e">
        <f>SUBSTITUTE(SUBSTITUTE(SUBSTITUTE(_参照テーブル[[#This Row],[list]], "'", ""),"[", ""), "]", "")</f>
        <v>#VALUE!</v>
      </c>
      <c r="BN77" s="2" t="e" cm="1">
        <f t="array" ref="BN77">MIN(VALUE(_xlfn.TEXTSPLIT(_参照テーブル[[#This Row],[conv]], ", ")))</f>
        <v>#VALUE!</v>
      </c>
      <c r="BO77" s="2" t="e" cm="1">
        <f t="array" ref="BO77">MAX(VALUE(_xlfn.TEXTSPLIT(_参照テーブル[[#This Row],[conv]], ", ")))</f>
        <v>#VALUE!</v>
      </c>
      <c r="BP77" s="2" t="str">
        <f>IFERROR("("&amp;_参照テーブル[[#This Row],[min]]&amp;"～"&amp;_参照テーブル[[#This Row],[max]]&amp;")","")</f>
        <v/>
      </c>
      <c r="BQ77" s="2" t="e">
        <f>変換前のテーブル[[#This Row],[min_max]]</f>
        <v>#VALUE!</v>
      </c>
      <c r="BR77" s="2" t="e">
        <f>SUBSTITUTE(SUBSTITUTE(_参照テーブル[[#This Row],[list2]],"[",""),"]","")</f>
        <v>#VALUE!</v>
      </c>
      <c r="BS77" s="2" t="e" cm="1">
        <f t="array" ref="BS77">_xlfn.CHOOSECOLS(_xlfn.TEXTSPLIT(_参照テーブル[[#This Row],[list2_]],","),1)</f>
        <v>#VALUE!</v>
      </c>
      <c r="BT77" s="2" t="e" cm="1">
        <f t="array" ref="BT77">_xlfn.CHOOSECOLS(_xlfn.TEXTSPLIT(_参照テーブル[[#This Row],[list2_]],","),2)</f>
        <v>#VALUE!</v>
      </c>
      <c r="BU77" s="2" t="str">
        <f>IFERROR("("&amp;_参照テーブル[[#This Row],[min_]]&amp;"～"&amp;_参照テーブル[[#This Row],[max_]]&amp;")", "")</f>
        <v/>
      </c>
    </row>
    <row r="78" spans="63:73">
      <c r="BK78" s="2">
        <f t="shared" si="4"/>
        <v>76</v>
      </c>
      <c r="BL78" s="2" t="e">
        <f>変換前のテーブル[[#This Row],[list_item]] &amp; ""</f>
        <v>#VALUE!</v>
      </c>
      <c r="BM78" s="2" t="e">
        <f>SUBSTITUTE(SUBSTITUTE(SUBSTITUTE(_参照テーブル[[#This Row],[list]], "'", ""),"[", ""), "]", "")</f>
        <v>#VALUE!</v>
      </c>
      <c r="BN78" s="2" t="e" cm="1">
        <f t="array" ref="BN78">MIN(VALUE(_xlfn.TEXTSPLIT(_参照テーブル[[#This Row],[conv]], ", ")))</f>
        <v>#VALUE!</v>
      </c>
      <c r="BO78" s="2" t="e" cm="1">
        <f t="array" ref="BO78">MAX(VALUE(_xlfn.TEXTSPLIT(_参照テーブル[[#This Row],[conv]], ", ")))</f>
        <v>#VALUE!</v>
      </c>
      <c r="BP78" s="2" t="str">
        <f>IFERROR("("&amp;_参照テーブル[[#This Row],[min]]&amp;"～"&amp;_参照テーブル[[#This Row],[max]]&amp;")","")</f>
        <v/>
      </c>
      <c r="BQ78" s="2" t="e">
        <f>変換前のテーブル[[#This Row],[min_max]]</f>
        <v>#VALUE!</v>
      </c>
      <c r="BR78" s="2" t="e">
        <f>SUBSTITUTE(SUBSTITUTE(_参照テーブル[[#This Row],[list2]],"[",""),"]","")</f>
        <v>#VALUE!</v>
      </c>
      <c r="BS78" s="2" t="e" cm="1">
        <f t="array" ref="BS78">_xlfn.CHOOSECOLS(_xlfn.TEXTSPLIT(_参照テーブル[[#This Row],[list2_]],","),1)</f>
        <v>#VALUE!</v>
      </c>
      <c r="BT78" s="2" t="e" cm="1">
        <f t="array" ref="BT78">_xlfn.CHOOSECOLS(_xlfn.TEXTSPLIT(_参照テーブル[[#This Row],[list2_]],","),2)</f>
        <v>#VALUE!</v>
      </c>
      <c r="BU78" s="2" t="str">
        <f>IFERROR("("&amp;_参照テーブル[[#This Row],[min_]]&amp;"～"&amp;_参照テーブル[[#This Row],[max_]]&amp;")", "")</f>
        <v/>
      </c>
    </row>
    <row r="79" spans="63:73">
      <c r="BK79" s="2">
        <f t="shared" si="4"/>
        <v>77</v>
      </c>
      <c r="BL79" s="2" t="e">
        <f>変換前のテーブル[[#This Row],[list_item]] &amp; ""</f>
        <v>#VALUE!</v>
      </c>
      <c r="BM79" s="2" t="e">
        <f>SUBSTITUTE(SUBSTITUTE(SUBSTITUTE(_参照テーブル[[#This Row],[list]], "'", ""),"[", ""), "]", "")</f>
        <v>#VALUE!</v>
      </c>
      <c r="BN79" s="2" t="e" cm="1">
        <f t="array" ref="BN79">MIN(VALUE(_xlfn.TEXTSPLIT(_参照テーブル[[#This Row],[conv]], ", ")))</f>
        <v>#VALUE!</v>
      </c>
      <c r="BO79" s="2" t="e" cm="1">
        <f t="array" ref="BO79">MAX(VALUE(_xlfn.TEXTSPLIT(_参照テーブル[[#This Row],[conv]], ", ")))</f>
        <v>#VALUE!</v>
      </c>
      <c r="BP79" s="2" t="str">
        <f>IFERROR("("&amp;_参照テーブル[[#This Row],[min]]&amp;"～"&amp;_参照テーブル[[#This Row],[max]]&amp;")","")</f>
        <v/>
      </c>
      <c r="BQ79" s="2" t="e">
        <f>変換前のテーブル[[#This Row],[min_max]]</f>
        <v>#VALUE!</v>
      </c>
      <c r="BR79" s="2" t="e">
        <f>SUBSTITUTE(SUBSTITUTE(_参照テーブル[[#This Row],[list2]],"[",""),"]","")</f>
        <v>#VALUE!</v>
      </c>
      <c r="BS79" s="2" t="e" cm="1">
        <f t="array" ref="BS79">_xlfn.CHOOSECOLS(_xlfn.TEXTSPLIT(_参照テーブル[[#This Row],[list2_]],","),1)</f>
        <v>#VALUE!</v>
      </c>
      <c r="BT79" s="2" t="e" cm="1">
        <f t="array" ref="BT79">_xlfn.CHOOSECOLS(_xlfn.TEXTSPLIT(_参照テーブル[[#This Row],[list2_]],","),2)</f>
        <v>#VALUE!</v>
      </c>
      <c r="BU79" s="2" t="str">
        <f>IFERROR("("&amp;_参照テーブル[[#This Row],[min_]]&amp;"～"&amp;_参照テーブル[[#This Row],[max_]]&amp;")", "")</f>
        <v/>
      </c>
    </row>
    <row r="80" spans="63:73">
      <c r="BK80" s="2">
        <f t="shared" si="4"/>
        <v>78</v>
      </c>
      <c r="BL80" s="2" t="e">
        <f>変換前のテーブル[[#This Row],[list_item]] &amp; ""</f>
        <v>#VALUE!</v>
      </c>
      <c r="BM80" s="2" t="e">
        <f>SUBSTITUTE(SUBSTITUTE(SUBSTITUTE(_参照テーブル[[#This Row],[list]], "'", ""),"[", ""), "]", "")</f>
        <v>#VALUE!</v>
      </c>
      <c r="BN80" s="2" t="e" cm="1">
        <f t="array" ref="BN80">MIN(VALUE(_xlfn.TEXTSPLIT(_参照テーブル[[#This Row],[conv]], ", ")))</f>
        <v>#VALUE!</v>
      </c>
      <c r="BO80" s="2" t="e" cm="1">
        <f t="array" ref="BO80">MAX(VALUE(_xlfn.TEXTSPLIT(_参照テーブル[[#This Row],[conv]], ", ")))</f>
        <v>#VALUE!</v>
      </c>
      <c r="BP80" s="2" t="str">
        <f>IFERROR("("&amp;_参照テーブル[[#This Row],[min]]&amp;"～"&amp;_参照テーブル[[#This Row],[max]]&amp;")","")</f>
        <v/>
      </c>
      <c r="BQ80" s="2" t="e">
        <f>変換前のテーブル[[#This Row],[min_max]]</f>
        <v>#VALUE!</v>
      </c>
      <c r="BR80" s="2" t="e">
        <f>SUBSTITUTE(SUBSTITUTE(_参照テーブル[[#This Row],[list2]],"[",""),"]","")</f>
        <v>#VALUE!</v>
      </c>
      <c r="BS80" s="2" t="e" cm="1">
        <f t="array" ref="BS80">_xlfn.CHOOSECOLS(_xlfn.TEXTSPLIT(_参照テーブル[[#This Row],[list2_]],","),1)</f>
        <v>#VALUE!</v>
      </c>
      <c r="BT80" s="2" t="e" cm="1">
        <f t="array" ref="BT80">_xlfn.CHOOSECOLS(_xlfn.TEXTSPLIT(_参照テーブル[[#This Row],[list2_]],","),2)</f>
        <v>#VALUE!</v>
      </c>
      <c r="BU80" s="2" t="str">
        <f>IFERROR("("&amp;_参照テーブル[[#This Row],[min_]]&amp;"～"&amp;_参照テーブル[[#This Row],[max_]]&amp;")", "")</f>
        <v/>
      </c>
    </row>
    <row r="81" spans="63:73">
      <c r="BK81" s="2">
        <f t="shared" si="4"/>
        <v>79</v>
      </c>
      <c r="BL81" s="2" t="e">
        <f>変換前のテーブル[[#This Row],[list_item]] &amp; ""</f>
        <v>#VALUE!</v>
      </c>
      <c r="BM81" s="2" t="e">
        <f>SUBSTITUTE(SUBSTITUTE(SUBSTITUTE(_参照テーブル[[#This Row],[list]], "'", ""),"[", ""), "]", "")</f>
        <v>#VALUE!</v>
      </c>
      <c r="BN81" s="2" t="e" cm="1">
        <f t="array" ref="BN81">MIN(VALUE(_xlfn.TEXTSPLIT(_参照テーブル[[#This Row],[conv]], ", ")))</f>
        <v>#VALUE!</v>
      </c>
      <c r="BO81" s="2" t="e" cm="1">
        <f t="array" ref="BO81">MAX(VALUE(_xlfn.TEXTSPLIT(_参照テーブル[[#This Row],[conv]], ", ")))</f>
        <v>#VALUE!</v>
      </c>
      <c r="BP81" s="2" t="str">
        <f>IFERROR("("&amp;_参照テーブル[[#This Row],[min]]&amp;"～"&amp;_参照テーブル[[#This Row],[max]]&amp;")","")</f>
        <v/>
      </c>
      <c r="BQ81" s="2" t="e">
        <f>変換前のテーブル[[#This Row],[min_max]]</f>
        <v>#VALUE!</v>
      </c>
      <c r="BR81" s="2" t="e">
        <f>SUBSTITUTE(SUBSTITUTE(_参照テーブル[[#This Row],[list2]],"[",""),"]","")</f>
        <v>#VALUE!</v>
      </c>
      <c r="BS81" s="2" t="e" cm="1">
        <f t="array" ref="BS81">_xlfn.CHOOSECOLS(_xlfn.TEXTSPLIT(_参照テーブル[[#This Row],[list2_]],","),1)</f>
        <v>#VALUE!</v>
      </c>
      <c r="BT81" s="2" t="e" cm="1">
        <f t="array" ref="BT81">_xlfn.CHOOSECOLS(_xlfn.TEXTSPLIT(_参照テーブル[[#This Row],[list2_]],","),2)</f>
        <v>#VALUE!</v>
      </c>
      <c r="BU81" s="2" t="str">
        <f>IFERROR("("&amp;_参照テーブル[[#This Row],[min_]]&amp;"～"&amp;_参照テーブル[[#This Row],[max_]]&amp;")", "")</f>
        <v/>
      </c>
    </row>
    <row r="82" spans="63:73">
      <c r="BK82" s="2">
        <f t="shared" si="4"/>
        <v>80</v>
      </c>
      <c r="BL82" s="2" t="e">
        <f>変換前のテーブル[[#This Row],[list_item]] &amp; ""</f>
        <v>#VALUE!</v>
      </c>
      <c r="BM82" s="2" t="e">
        <f>SUBSTITUTE(SUBSTITUTE(SUBSTITUTE(_参照テーブル[[#This Row],[list]], "'", ""),"[", ""), "]", "")</f>
        <v>#VALUE!</v>
      </c>
      <c r="BN82" s="2" t="e" cm="1">
        <f t="array" ref="BN82">MIN(VALUE(_xlfn.TEXTSPLIT(_参照テーブル[[#This Row],[conv]], ", ")))</f>
        <v>#VALUE!</v>
      </c>
      <c r="BO82" s="2" t="e" cm="1">
        <f t="array" ref="BO82">MAX(VALUE(_xlfn.TEXTSPLIT(_参照テーブル[[#This Row],[conv]], ", ")))</f>
        <v>#VALUE!</v>
      </c>
      <c r="BP82" s="2" t="str">
        <f>IFERROR("("&amp;_参照テーブル[[#This Row],[min]]&amp;"～"&amp;_参照テーブル[[#This Row],[max]]&amp;")","")</f>
        <v/>
      </c>
      <c r="BQ82" s="2" t="e">
        <f>変換前のテーブル[[#This Row],[min_max]]</f>
        <v>#VALUE!</v>
      </c>
      <c r="BR82" s="2" t="e">
        <f>SUBSTITUTE(SUBSTITUTE(_参照テーブル[[#This Row],[list2]],"[",""),"]","")</f>
        <v>#VALUE!</v>
      </c>
      <c r="BS82" s="2" t="e" cm="1">
        <f t="array" ref="BS82">_xlfn.CHOOSECOLS(_xlfn.TEXTSPLIT(_参照テーブル[[#This Row],[list2_]],","),1)</f>
        <v>#VALUE!</v>
      </c>
      <c r="BT82" s="2" t="e" cm="1">
        <f t="array" ref="BT82">_xlfn.CHOOSECOLS(_xlfn.TEXTSPLIT(_参照テーブル[[#This Row],[list2_]],","),2)</f>
        <v>#VALUE!</v>
      </c>
      <c r="BU82" s="2" t="str">
        <f>IFERROR("("&amp;_参照テーブル[[#This Row],[min_]]&amp;"～"&amp;_参照テーブル[[#This Row],[max_]]&amp;")", "")</f>
        <v/>
      </c>
    </row>
    <row r="83" spans="63:73">
      <c r="BK83" s="2">
        <f t="shared" si="4"/>
        <v>81</v>
      </c>
      <c r="BL83" s="2" t="e">
        <f>変換前のテーブル[[#This Row],[list_item]] &amp; ""</f>
        <v>#VALUE!</v>
      </c>
      <c r="BM83" s="2" t="e">
        <f>SUBSTITUTE(SUBSTITUTE(SUBSTITUTE(_参照テーブル[[#This Row],[list]], "'", ""),"[", ""), "]", "")</f>
        <v>#VALUE!</v>
      </c>
      <c r="BN83" s="2" t="e" cm="1">
        <f t="array" ref="BN83">MIN(VALUE(_xlfn.TEXTSPLIT(_参照テーブル[[#This Row],[conv]], ", ")))</f>
        <v>#VALUE!</v>
      </c>
      <c r="BO83" s="2" t="e" cm="1">
        <f t="array" ref="BO83">MAX(VALUE(_xlfn.TEXTSPLIT(_参照テーブル[[#This Row],[conv]], ", ")))</f>
        <v>#VALUE!</v>
      </c>
      <c r="BP83" s="2" t="str">
        <f>IFERROR("("&amp;_参照テーブル[[#This Row],[min]]&amp;"～"&amp;_参照テーブル[[#This Row],[max]]&amp;")","")</f>
        <v/>
      </c>
      <c r="BQ83" s="2" t="e">
        <f>変換前のテーブル[[#This Row],[min_max]]</f>
        <v>#VALUE!</v>
      </c>
      <c r="BR83" s="2" t="e">
        <f>SUBSTITUTE(SUBSTITUTE(_参照テーブル[[#This Row],[list2]],"[",""),"]","")</f>
        <v>#VALUE!</v>
      </c>
      <c r="BS83" s="2" t="e" cm="1">
        <f t="array" ref="BS83">_xlfn.CHOOSECOLS(_xlfn.TEXTSPLIT(_参照テーブル[[#This Row],[list2_]],","),1)</f>
        <v>#VALUE!</v>
      </c>
      <c r="BT83" s="2" t="e" cm="1">
        <f t="array" ref="BT83">_xlfn.CHOOSECOLS(_xlfn.TEXTSPLIT(_参照テーブル[[#This Row],[list2_]],","),2)</f>
        <v>#VALUE!</v>
      </c>
      <c r="BU83" s="2" t="str">
        <f>IFERROR("("&amp;_参照テーブル[[#This Row],[min_]]&amp;"～"&amp;_参照テーブル[[#This Row],[max_]]&amp;")", "")</f>
        <v/>
      </c>
    </row>
    <row r="84" spans="63:73">
      <c r="BK84" s="2">
        <f t="shared" si="4"/>
        <v>82</v>
      </c>
      <c r="BL84" s="2" t="e">
        <f>変換前のテーブル[[#This Row],[list_item]] &amp; ""</f>
        <v>#VALUE!</v>
      </c>
      <c r="BM84" s="2" t="e">
        <f>SUBSTITUTE(SUBSTITUTE(SUBSTITUTE(_参照テーブル[[#This Row],[list]], "'", ""),"[", ""), "]", "")</f>
        <v>#VALUE!</v>
      </c>
      <c r="BN84" s="2" t="e" cm="1">
        <f t="array" ref="BN84">MIN(VALUE(_xlfn.TEXTSPLIT(_参照テーブル[[#This Row],[conv]], ", ")))</f>
        <v>#VALUE!</v>
      </c>
      <c r="BO84" s="2" t="e" cm="1">
        <f t="array" ref="BO84">MAX(VALUE(_xlfn.TEXTSPLIT(_参照テーブル[[#This Row],[conv]], ", ")))</f>
        <v>#VALUE!</v>
      </c>
      <c r="BP84" s="2" t="str">
        <f>IFERROR("("&amp;_参照テーブル[[#This Row],[min]]&amp;"～"&amp;_参照テーブル[[#This Row],[max]]&amp;")","")</f>
        <v/>
      </c>
      <c r="BQ84" s="2" t="e">
        <f>変換前のテーブル[[#This Row],[min_max]]</f>
        <v>#VALUE!</v>
      </c>
      <c r="BR84" s="2" t="e">
        <f>SUBSTITUTE(SUBSTITUTE(_参照テーブル[[#This Row],[list2]],"[",""),"]","")</f>
        <v>#VALUE!</v>
      </c>
      <c r="BS84" s="2" t="e" cm="1">
        <f t="array" ref="BS84">_xlfn.CHOOSECOLS(_xlfn.TEXTSPLIT(_参照テーブル[[#This Row],[list2_]],","),1)</f>
        <v>#VALUE!</v>
      </c>
      <c r="BT84" s="2" t="e" cm="1">
        <f t="array" ref="BT84">_xlfn.CHOOSECOLS(_xlfn.TEXTSPLIT(_参照テーブル[[#This Row],[list2_]],","),2)</f>
        <v>#VALUE!</v>
      </c>
      <c r="BU84" s="2" t="str">
        <f>IFERROR("("&amp;_参照テーブル[[#This Row],[min_]]&amp;"～"&amp;_参照テーブル[[#This Row],[max_]]&amp;")", "")</f>
        <v/>
      </c>
    </row>
    <row r="85" spans="63:73">
      <c r="BK85" s="2">
        <f t="shared" si="4"/>
        <v>83</v>
      </c>
      <c r="BL85" s="2" t="e">
        <f>変換前のテーブル[[#This Row],[list_item]] &amp; ""</f>
        <v>#VALUE!</v>
      </c>
      <c r="BM85" s="2" t="e">
        <f>SUBSTITUTE(SUBSTITUTE(SUBSTITUTE(_参照テーブル[[#This Row],[list]], "'", ""),"[", ""), "]", "")</f>
        <v>#VALUE!</v>
      </c>
      <c r="BN85" s="2" t="e" cm="1">
        <f t="array" ref="BN85">MIN(VALUE(_xlfn.TEXTSPLIT(_参照テーブル[[#This Row],[conv]], ", ")))</f>
        <v>#VALUE!</v>
      </c>
      <c r="BO85" s="2" t="e" cm="1">
        <f t="array" ref="BO85">MAX(VALUE(_xlfn.TEXTSPLIT(_参照テーブル[[#This Row],[conv]], ", ")))</f>
        <v>#VALUE!</v>
      </c>
      <c r="BP85" s="2" t="str">
        <f>IFERROR("("&amp;_参照テーブル[[#This Row],[min]]&amp;"～"&amp;_参照テーブル[[#This Row],[max]]&amp;")","")</f>
        <v/>
      </c>
      <c r="BQ85" s="2" t="e">
        <f>変換前のテーブル[[#This Row],[min_max]]</f>
        <v>#VALUE!</v>
      </c>
      <c r="BR85" s="2" t="e">
        <f>SUBSTITUTE(SUBSTITUTE(_参照テーブル[[#This Row],[list2]],"[",""),"]","")</f>
        <v>#VALUE!</v>
      </c>
      <c r="BS85" s="2" t="e" cm="1">
        <f t="array" ref="BS85">_xlfn.CHOOSECOLS(_xlfn.TEXTSPLIT(_参照テーブル[[#This Row],[list2_]],","),1)</f>
        <v>#VALUE!</v>
      </c>
      <c r="BT85" s="2" t="e" cm="1">
        <f t="array" ref="BT85">_xlfn.CHOOSECOLS(_xlfn.TEXTSPLIT(_参照テーブル[[#This Row],[list2_]],","),2)</f>
        <v>#VALUE!</v>
      </c>
      <c r="BU85" s="2" t="str">
        <f>IFERROR("("&amp;_参照テーブル[[#This Row],[min_]]&amp;"～"&amp;_参照テーブル[[#This Row],[max_]]&amp;")", "")</f>
        <v/>
      </c>
    </row>
    <row r="86" spans="63:73">
      <c r="BK86" s="2">
        <f t="shared" si="4"/>
        <v>84</v>
      </c>
      <c r="BL86" s="2" t="e">
        <f>変換前のテーブル[[#This Row],[list_item]] &amp; ""</f>
        <v>#VALUE!</v>
      </c>
      <c r="BM86" s="2" t="e">
        <f>SUBSTITUTE(SUBSTITUTE(SUBSTITUTE(_参照テーブル[[#This Row],[list]], "'", ""),"[", ""), "]", "")</f>
        <v>#VALUE!</v>
      </c>
      <c r="BN86" s="2" t="e" cm="1">
        <f t="array" ref="BN86">MIN(VALUE(_xlfn.TEXTSPLIT(_参照テーブル[[#This Row],[conv]], ", ")))</f>
        <v>#VALUE!</v>
      </c>
      <c r="BO86" s="2" t="e" cm="1">
        <f t="array" ref="BO86">MAX(VALUE(_xlfn.TEXTSPLIT(_参照テーブル[[#This Row],[conv]], ", ")))</f>
        <v>#VALUE!</v>
      </c>
      <c r="BP86" s="2" t="str">
        <f>IFERROR("("&amp;_参照テーブル[[#This Row],[min]]&amp;"～"&amp;_参照テーブル[[#This Row],[max]]&amp;")","")</f>
        <v/>
      </c>
      <c r="BQ86" s="2" t="e">
        <f>変換前のテーブル[[#This Row],[min_max]]</f>
        <v>#VALUE!</v>
      </c>
      <c r="BR86" s="2" t="e">
        <f>SUBSTITUTE(SUBSTITUTE(_参照テーブル[[#This Row],[list2]],"[",""),"]","")</f>
        <v>#VALUE!</v>
      </c>
      <c r="BS86" s="2" t="e" cm="1">
        <f t="array" ref="BS86">_xlfn.CHOOSECOLS(_xlfn.TEXTSPLIT(_参照テーブル[[#This Row],[list2_]],","),1)</f>
        <v>#VALUE!</v>
      </c>
      <c r="BT86" s="2" t="e" cm="1">
        <f t="array" ref="BT86">_xlfn.CHOOSECOLS(_xlfn.TEXTSPLIT(_参照テーブル[[#This Row],[list2_]],","),2)</f>
        <v>#VALUE!</v>
      </c>
      <c r="BU86" s="2" t="str">
        <f>IFERROR("("&amp;_参照テーブル[[#This Row],[min_]]&amp;"～"&amp;_参照テーブル[[#This Row],[max_]]&amp;")", "")</f>
        <v/>
      </c>
    </row>
    <row r="87" spans="63:73">
      <c r="BK87" s="2">
        <f t="shared" si="4"/>
        <v>85</v>
      </c>
      <c r="BL87" s="2" t="e">
        <f>変換前のテーブル[[#This Row],[list_item]] &amp; ""</f>
        <v>#VALUE!</v>
      </c>
      <c r="BM87" s="2" t="e">
        <f>SUBSTITUTE(SUBSTITUTE(SUBSTITUTE(_参照テーブル[[#This Row],[list]], "'", ""),"[", ""), "]", "")</f>
        <v>#VALUE!</v>
      </c>
      <c r="BN87" s="2" t="e" cm="1">
        <f t="array" ref="BN87">MIN(VALUE(_xlfn.TEXTSPLIT(_参照テーブル[[#This Row],[conv]], ", ")))</f>
        <v>#VALUE!</v>
      </c>
      <c r="BO87" s="2" t="e" cm="1">
        <f t="array" ref="BO87">MAX(VALUE(_xlfn.TEXTSPLIT(_参照テーブル[[#This Row],[conv]], ", ")))</f>
        <v>#VALUE!</v>
      </c>
      <c r="BP87" s="2" t="str">
        <f>IFERROR("("&amp;_参照テーブル[[#This Row],[min]]&amp;"～"&amp;_参照テーブル[[#This Row],[max]]&amp;")","")</f>
        <v/>
      </c>
      <c r="BQ87" s="2" t="e">
        <f>変換前のテーブル[[#This Row],[min_max]]</f>
        <v>#VALUE!</v>
      </c>
      <c r="BR87" s="2" t="e">
        <f>SUBSTITUTE(SUBSTITUTE(_参照テーブル[[#This Row],[list2]],"[",""),"]","")</f>
        <v>#VALUE!</v>
      </c>
      <c r="BS87" s="2" t="e" cm="1">
        <f t="array" ref="BS87">_xlfn.CHOOSECOLS(_xlfn.TEXTSPLIT(_参照テーブル[[#This Row],[list2_]],","),1)</f>
        <v>#VALUE!</v>
      </c>
      <c r="BT87" s="2" t="e" cm="1">
        <f t="array" ref="BT87">_xlfn.CHOOSECOLS(_xlfn.TEXTSPLIT(_参照テーブル[[#This Row],[list2_]],","),2)</f>
        <v>#VALUE!</v>
      </c>
      <c r="BU87" s="2" t="str">
        <f>IFERROR("("&amp;_参照テーブル[[#This Row],[min_]]&amp;"～"&amp;_参照テーブル[[#This Row],[max_]]&amp;")", "")</f>
        <v/>
      </c>
    </row>
    <row r="88" spans="63:73">
      <c r="BK88" s="2">
        <f t="shared" si="4"/>
        <v>86</v>
      </c>
      <c r="BL88" s="2" t="e">
        <f>変換前のテーブル[[#This Row],[list_item]] &amp; ""</f>
        <v>#VALUE!</v>
      </c>
      <c r="BM88" s="2" t="e">
        <f>SUBSTITUTE(SUBSTITUTE(SUBSTITUTE(_参照テーブル[[#This Row],[list]], "'", ""),"[", ""), "]", "")</f>
        <v>#VALUE!</v>
      </c>
      <c r="BN88" s="2" t="e" cm="1">
        <f t="array" ref="BN88">MIN(VALUE(_xlfn.TEXTSPLIT(_参照テーブル[[#This Row],[conv]], ", ")))</f>
        <v>#VALUE!</v>
      </c>
      <c r="BO88" s="2" t="e" cm="1">
        <f t="array" ref="BO88">MAX(VALUE(_xlfn.TEXTSPLIT(_参照テーブル[[#This Row],[conv]], ", ")))</f>
        <v>#VALUE!</v>
      </c>
      <c r="BP88" s="2" t="str">
        <f>IFERROR("("&amp;_参照テーブル[[#This Row],[min]]&amp;"～"&amp;_参照テーブル[[#This Row],[max]]&amp;")","")</f>
        <v/>
      </c>
      <c r="BQ88" s="2" t="e">
        <f>変換前のテーブル[[#This Row],[min_max]]</f>
        <v>#VALUE!</v>
      </c>
      <c r="BR88" s="2" t="e">
        <f>SUBSTITUTE(SUBSTITUTE(_参照テーブル[[#This Row],[list2]],"[",""),"]","")</f>
        <v>#VALUE!</v>
      </c>
      <c r="BS88" s="2" t="e" cm="1">
        <f t="array" ref="BS88">_xlfn.CHOOSECOLS(_xlfn.TEXTSPLIT(_参照テーブル[[#This Row],[list2_]],","),1)</f>
        <v>#VALUE!</v>
      </c>
      <c r="BT88" s="2" t="e" cm="1">
        <f t="array" ref="BT88">_xlfn.CHOOSECOLS(_xlfn.TEXTSPLIT(_参照テーブル[[#This Row],[list2_]],","),2)</f>
        <v>#VALUE!</v>
      </c>
      <c r="BU88" s="2" t="str">
        <f>IFERROR("("&amp;_参照テーブル[[#This Row],[min_]]&amp;"～"&amp;_参照テーブル[[#This Row],[max_]]&amp;")", "")</f>
        <v/>
      </c>
    </row>
    <row r="89" spans="63:73">
      <c r="BK89" s="2">
        <f t="shared" si="4"/>
        <v>87</v>
      </c>
      <c r="BL89" s="2" t="e">
        <f>変換前のテーブル[[#This Row],[list_item]] &amp; ""</f>
        <v>#VALUE!</v>
      </c>
      <c r="BM89" s="2" t="e">
        <f>SUBSTITUTE(SUBSTITUTE(SUBSTITUTE(_参照テーブル[[#This Row],[list]], "'", ""),"[", ""), "]", "")</f>
        <v>#VALUE!</v>
      </c>
      <c r="BN89" s="2" t="e" cm="1">
        <f t="array" ref="BN89">MIN(VALUE(_xlfn.TEXTSPLIT(_参照テーブル[[#This Row],[conv]], ", ")))</f>
        <v>#VALUE!</v>
      </c>
      <c r="BO89" s="2" t="e" cm="1">
        <f t="array" ref="BO89">MAX(VALUE(_xlfn.TEXTSPLIT(_参照テーブル[[#This Row],[conv]], ", ")))</f>
        <v>#VALUE!</v>
      </c>
      <c r="BP89" s="2" t="str">
        <f>IFERROR("("&amp;_参照テーブル[[#This Row],[min]]&amp;"～"&amp;_参照テーブル[[#This Row],[max]]&amp;")","")</f>
        <v/>
      </c>
      <c r="BQ89" s="2" t="e">
        <f>変換前のテーブル[[#This Row],[min_max]]</f>
        <v>#VALUE!</v>
      </c>
      <c r="BR89" s="2" t="e">
        <f>SUBSTITUTE(SUBSTITUTE(_参照テーブル[[#This Row],[list2]],"[",""),"]","")</f>
        <v>#VALUE!</v>
      </c>
      <c r="BS89" s="2" t="e" cm="1">
        <f t="array" ref="BS89">_xlfn.CHOOSECOLS(_xlfn.TEXTSPLIT(_参照テーブル[[#This Row],[list2_]],","),1)</f>
        <v>#VALUE!</v>
      </c>
      <c r="BT89" s="2" t="e" cm="1">
        <f t="array" ref="BT89">_xlfn.CHOOSECOLS(_xlfn.TEXTSPLIT(_参照テーブル[[#This Row],[list2_]],","),2)</f>
        <v>#VALUE!</v>
      </c>
      <c r="BU89" s="2" t="str">
        <f>IFERROR("("&amp;_参照テーブル[[#This Row],[min_]]&amp;"～"&amp;_参照テーブル[[#This Row],[max_]]&amp;")", "")</f>
        <v/>
      </c>
    </row>
    <row r="90" spans="63:73">
      <c r="BK90" s="2">
        <f t="shared" si="4"/>
        <v>88</v>
      </c>
      <c r="BL90" s="2" t="e">
        <f>変換前のテーブル[[#This Row],[list_item]] &amp; ""</f>
        <v>#VALUE!</v>
      </c>
      <c r="BM90" s="2" t="e">
        <f>SUBSTITUTE(SUBSTITUTE(SUBSTITUTE(_参照テーブル[[#This Row],[list]], "'", ""),"[", ""), "]", "")</f>
        <v>#VALUE!</v>
      </c>
      <c r="BN90" s="2" t="e" cm="1">
        <f t="array" ref="BN90">MIN(VALUE(_xlfn.TEXTSPLIT(_参照テーブル[[#This Row],[conv]], ", ")))</f>
        <v>#VALUE!</v>
      </c>
      <c r="BO90" s="2" t="e" cm="1">
        <f t="array" ref="BO90">MAX(VALUE(_xlfn.TEXTSPLIT(_参照テーブル[[#This Row],[conv]], ", ")))</f>
        <v>#VALUE!</v>
      </c>
      <c r="BP90" s="2" t="str">
        <f>IFERROR("("&amp;_参照テーブル[[#This Row],[min]]&amp;"～"&amp;_参照テーブル[[#This Row],[max]]&amp;")","")</f>
        <v/>
      </c>
      <c r="BQ90" s="2" t="e">
        <f>変換前のテーブル[[#This Row],[min_max]]</f>
        <v>#VALUE!</v>
      </c>
      <c r="BR90" s="2" t="e">
        <f>SUBSTITUTE(SUBSTITUTE(_参照テーブル[[#This Row],[list2]],"[",""),"]","")</f>
        <v>#VALUE!</v>
      </c>
      <c r="BS90" s="2" t="e" cm="1">
        <f t="array" ref="BS90">_xlfn.CHOOSECOLS(_xlfn.TEXTSPLIT(_参照テーブル[[#This Row],[list2_]],","),1)</f>
        <v>#VALUE!</v>
      </c>
      <c r="BT90" s="2" t="e" cm="1">
        <f t="array" ref="BT90">_xlfn.CHOOSECOLS(_xlfn.TEXTSPLIT(_参照テーブル[[#This Row],[list2_]],","),2)</f>
        <v>#VALUE!</v>
      </c>
      <c r="BU90" s="2" t="str">
        <f>IFERROR("("&amp;_参照テーブル[[#This Row],[min_]]&amp;"～"&amp;_参照テーブル[[#This Row],[max_]]&amp;")", "")</f>
        <v/>
      </c>
    </row>
    <row r="91" spans="63:73">
      <c r="BK91" s="2">
        <f t="shared" si="4"/>
        <v>89</v>
      </c>
      <c r="BL91" s="2" t="e">
        <f>変換前のテーブル[[#This Row],[list_item]] &amp; ""</f>
        <v>#VALUE!</v>
      </c>
      <c r="BM91" s="2" t="e">
        <f>SUBSTITUTE(SUBSTITUTE(SUBSTITUTE(_参照テーブル[[#This Row],[list]], "'", ""),"[", ""), "]", "")</f>
        <v>#VALUE!</v>
      </c>
      <c r="BN91" s="2" t="e" cm="1">
        <f t="array" ref="BN91">MIN(VALUE(_xlfn.TEXTSPLIT(_参照テーブル[[#This Row],[conv]], ", ")))</f>
        <v>#VALUE!</v>
      </c>
      <c r="BO91" s="2" t="e" cm="1">
        <f t="array" ref="BO91">MAX(VALUE(_xlfn.TEXTSPLIT(_参照テーブル[[#This Row],[conv]], ", ")))</f>
        <v>#VALUE!</v>
      </c>
      <c r="BP91" s="2" t="str">
        <f>IFERROR("("&amp;_参照テーブル[[#This Row],[min]]&amp;"～"&amp;_参照テーブル[[#This Row],[max]]&amp;")","")</f>
        <v/>
      </c>
      <c r="BQ91" s="2" t="e">
        <f>変換前のテーブル[[#This Row],[min_max]]</f>
        <v>#VALUE!</v>
      </c>
      <c r="BR91" s="2" t="e">
        <f>SUBSTITUTE(SUBSTITUTE(_参照テーブル[[#This Row],[list2]],"[",""),"]","")</f>
        <v>#VALUE!</v>
      </c>
      <c r="BS91" s="2" t="e" cm="1">
        <f t="array" ref="BS91">_xlfn.CHOOSECOLS(_xlfn.TEXTSPLIT(_参照テーブル[[#This Row],[list2_]],","),1)</f>
        <v>#VALUE!</v>
      </c>
      <c r="BT91" s="2" t="e" cm="1">
        <f t="array" ref="BT91">_xlfn.CHOOSECOLS(_xlfn.TEXTSPLIT(_参照テーブル[[#This Row],[list2_]],","),2)</f>
        <v>#VALUE!</v>
      </c>
      <c r="BU91" s="2" t="str">
        <f>IFERROR("("&amp;_参照テーブル[[#This Row],[min_]]&amp;"～"&amp;_参照テーブル[[#This Row],[max_]]&amp;")", "")</f>
        <v/>
      </c>
    </row>
    <row r="92" spans="63:73">
      <c r="BK92" s="2">
        <f t="shared" si="4"/>
        <v>90</v>
      </c>
      <c r="BL92" s="2" t="e">
        <f>変換前のテーブル[[#This Row],[list_item]] &amp; ""</f>
        <v>#VALUE!</v>
      </c>
      <c r="BM92" s="2" t="e">
        <f>SUBSTITUTE(SUBSTITUTE(SUBSTITUTE(_参照テーブル[[#This Row],[list]], "'", ""),"[", ""), "]", "")</f>
        <v>#VALUE!</v>
      </c>
      <c r="BN92" s="2" t="e" cm="1">
        <f t="array" ref="BN92">MIN(VALUE(_xlfn.TEXTSPLIT(_参照テーブル[[#This Row],[conv]], ", ")))</f>
        <v>#VALUE!</v>
      </c>
      <c r="BO92" s="2" t="e" cm="1">
        <f t="array" ref="BO92">MAX(VALUE(_xlfn.TEXTSPLIT(_参照テーブル[[#This Row],[conv]], ", ")))</f>
        <v>#VALUE!</v>
      </c>
      <c r="BP92" s="2" t="str">
        <f>IFERROR("("&amp;_参照テーブル[[#This Row],[min]]&amp;"～"&amp;_参照テーブル[[#This Row],[max]]&amp;")","")</f>
        <v/>
      </c>
      <c r="BQ92" s="2" t="e">
        <f>変換前のテーブル[[#This Row],[min_max]]</f>
        <v>#VALUE!</v>
      </c>
      <c r="BR92" s="2" t="e">
        <f>SUBSTITUTE(SUBSTITUTE(_参照テーブル[[#This Row],[list2]],"[",""),"]","")</f>
        <v>#VALUE!</v>
      </c>
      <c r="BS92" s="2" t="e" cm="1">
        <f t="array" ref="BS92">_xlfn.CHOOSECOLS(_xlfn.TEXTSPLIT(_参照テーブル[[#This Row],[list2_]],","),1)</f>
        <v>#VALUE!</v>
      </c>
      <c r="BT92" s="2" t="e" cm="1">
        <f t="array" ref="BT92">_xlfn.CHOOSECOLS(_xlfn.TEXTSPLIT(_参照テーブル[[#This Row],[list2_]],","),2)</f>
        <v>#VALUE!</v>
      </c>
      <c r="BU92" s="2" t="str">
        <f>IFERROR("("&amp;_参照テーブル[[#This Row],[min_]]&amp;"～"&amp;_参照テーブル[[#This Row],[max_]]&amp;")", "")</f>
        <v/>
      </c>
    </row>
    <row r="93" spans="63:73">
      <c r="BK93" s="2">
        <f t="shared" si="4"/>
        <v>91</v>
      </c>
      <c r="BL93" s="2" t="e">
        <f>変換前のテーブル[[#This Row],[list_item]] &amp; ""</f>
        <v>#VALUE!</v>
      </c>
      <c r="BM93" s="2" t="e">
        <f>SUBSTITUTE(SUBSTITUTE(SUBSTITUTE(_参照テーブル[[#This Row],[list]], "'", ""),"[", ""), "]", "")</f>
        <v>#VALUE!</v>
      </c>
      <c r="BN93" s="2" t="e" cm="1">
        <f t="array" ref="BN93">MIN(VALUE(_xlfn.TEXTSPLIT(_参照テーブル[[#This Row],[conv]], ", ")))</f>
        <v>#VALUE!</v>
      </c>
      <c r="BO93" s="2" t="e" cm="1">
        <f t="array" ref="BO93">MAX(VALUE(_xlfn.TEXTSPLIT(_参照テーブル[[#This Row],[conv]], ", ")))</f>
        <v>#VALUE!</v>
      </c>
      <c r="BP93" s="2" t="str">
        <f>IFERROR("("&amp;_参照テーブル[[#This Row],[min]]&amp;"～"&amp;_参照テーブル[[#This Row],[max]]&amp;")","")</f>
        <v/>
      </c>
      <c r="BQ93" s="2" t="e">
        <f>変換前のテーブル[[#This Row],[min_max]]</f>
        <v>#VALUE!</v>
      </c>
      <c r="BR93" s="2" t="e">
        <f>SUBSTITUTE(SUBSTITUTE(_参照テーブル[[#This Row],[list2]],"[",""),"]","")</f>
        <v>#VALUE!</v>
      </c>
      <c r="BS93" s="2" t="e" cm="1">
        <f t="array" ref="BS93">_xlfn.CHOOSECOLS(_xlfn.TEXTSPLIT(_参照テーブル[[#This Row],[list2_]],","),1)</f>
        <v>#VALUE!</v>
      </c>
      <c r="BT93" s="2" t="e" cm="1">
        <f t="array" ref="BT93">_xlfn.CHOOSECOLS(_xlfn.TEXTSPLIT(_参照テーブル[[#This Row],[list2_]],","),2)</f>
        <v>#VALUE!</v>
      </c>
      <c r="BU93" s="2" t="str">
        <f>IFERROR("("&amp;_参照テーブル[[#This Row],[min_]]&amp;"～"&amp;_参照テーブル[[#This Row],[max_]]&amp;")", "")</f>
        <v/>
      </c>
    </row>
    <row r="94" spans="63:73">
      <c r="BK94" s="2">
        <f t="shared" si="4"/>
        <v>92</v>
      </c>
      <c r="BL94" s="2" t="e">
        <f>変換前のテーブル[[#This Row],[list_item]] &amp; ""</f>
        <v>#VALUE!</v>
      </c>
      <c r="BM94" s="2" t="e">
        <f>SUBSTITUTE(SUBSTITUTE(SUBSTITUTE(_参照テーブル[[#This Row],[list]], "'", ""),"[", ""), "]", "")</f>
        <v>#VALUE!</v>
      </c>
      <c r="BN94" s="2" t="e" cm="1">
        <f t="array" ref="BN94">MIN(VALUE(_xlfn.TEXTSPLIT(_参照テーブル[[#This Row],[conv]], ", ")))</f>
        <v>#VALUE!</v>
      </c>
      <c r="BO94" s="2" t="e" cm="1">
        <f t="array" ref="BO94">MAX(VALUE(_xlfn.TEXTSPLIT(_参照テーブル[[#This Row],[conv]], ", ")))</f>
        <v>#VALUE!</v>
      </c>
      <c r="BP94" s="2" t="str">
        <f>IFERROR("("&amp;_参照テーブル[[#This Row],[min]]&amp;"～"&amp;_参照テーブル[[#This Row],[max]]&amp;")","")</f>
        <v/>
      </c>
      <c r="BQ94" s="2" t="e">
        <f>変換前のテーブル[[#This Row],[min_max]]</f>
        <v>#VALUE!</v>
      </c>
      <c r="BR94" s="2" t="e">
        <f>SUBSTITUTE(SUBSTITUTE(_参照テーブル[[#This Row],[list2]],"[",""),"]","")</f>
        <v>#VALUE!</v>
      </c>
      <c r="BS94" s="2" t="e" cm="1">
        <f t="array" ref="BS94">_xlfn.CHOOSECOLS(_xlfn.TEXTSPLIT(_参照テーブル[[#This Row],[list2_]],","),1)</f>
        <v>#VALUE!</v>
      </c>
      <c r="BT94" s="2" t="e" cm="1">
        <f t="array" ref="BT94">_xlfn.CHOOSECOLS(_xlfn.TEXTSPLIT(_参照テーブル[[#This Row],[list2_]],","),2)</f>
        <v>#VALUE!</v>
      </c>
      <c r="BU94" s="2" t="str">
        <f>IFERROR("("&amp;_参照テーブル[[#This Row],[min_]]&amp;"～"&amp;_参照テーブル[[#This Row],[max_]]&amp;")", "")</f>
        <v/>
      </c>
    </row>
    <row r="95" spans="63:73">
      <c r="BK95" s="2">
        <f t="shared" si="4"/>
        <v>93</v>
      </c>
      <c r="BL95" s="2" t="e">
        <f>変換前のテーブル[[#This Row],[list_item]] &amp; ""</f>
        <v>#VALUE!</v>
      </c>
      <c r="BM95" s="2" t="e">
        <f>SUBSTITUTE(SUBSTITUTE(SUBSTITUTE(_参照テーブル[[#This Row],[list]], "'", ""),"[", ""), "]", "")</f>
        <v>#VALUE!</v>
      </c>
      <c r="BN95" s="2" t="e" cm="1">
        <f t="array" ref="BN95">MIN(VALUE(_xlfn.TEXTSPLIT(_参照テーブル[[#This Row],[conv]], ", ")))</f>
        <v>#VALUE!</v>
      </c>
      <c r="BO95" s="2" t="e" cm="1">
        <f t="array" ref="BO95">MAX(VALUE(_xlfn.TEXTSPLIT(_参照テーブル[[#This Row],[conv]], ", ")))</f>
        <v>#VALUE!</v>
      </c>
      <c r="BP95" s="2" t="str">
        <f>IFERROR("("&amp;_参照テーブル[[#This Row],[min]]&amp;"～"&amp;_参照テーブル[[#This Row],[max]]&amp;")","")</f>
        <v/>
      </c>
      <c r="BQ95" s="2" t="e">
        <f>変換前のテーブル[[#This Row],[min_max]]</f>
        <v>#VALUE!</v>
      </c>
      <c r="BR95" s="2" t="e">
        <f>SUBSTITUTE(SUBSTITUTE(_参照テーブル[[#This Row],[list2]],"[",""),"]","")</f>
        <v>#VALUE!</v>
      </c>
      <c r="BS95" s="2" t="e" cm="1">
        <f t="array" ref="BS95">_xlfn.CHOOSECOLS(_xlfn.TEXTSPLIT(_参照テーブル[[#This Row],[list2_]],","),1)</f>
        <v>#VALUE!</v>
      </c>
      <c r="BT95" s="2" t="e" cm="1">
        <f t="array" ref="BT95">_xlfn.CHOOSECOLS(_xlfn.TEXTSPLIT(_参照テーブル[[#This Row],[list2_]],","),2)</f>
        <v>#VALUE!</v>
      </c>
      <c r="BU95" s="2" t="str">
        <f>IFERROR("("&amp;_参照テーブル[[#This Row],[min_]]&amp;"～"&amp;_参照テーブル[[#This Row],[max_]]&amp;")", "")</f>
        <v/>
      </c>
    </row>
    <row r="96" spans="63:73">
      <c r="BK96" s="2">
        <f t="shared" si="4"/>
        <v>94</v>
      </c>
      <c r="BL96" s="2" t="e">
        <f>変換前のテーブル[[#This Row],[list_item]] &amp; ""</f>
        <v>#VALUE!</v>
      </c>
      <c r="BM96" s="2" t="e">
        <f>SUBSTITUTE(SUBSTITUTE(SUBSTITUTE(_参照テーブル[[#This Row],[list]], "'", ""),"[", ""), "]", "")</f>
        <v>#VALUE!</v>
      </c>
      <c r="BN96" s="2" t="e" cm="1">
        <f t="array" ref="BN96">MIN(VALUE(_xlfn.TEXTSPLIT(_参照テーブル[[#This Row],[conv]], ", ")))</f>
        <v>#VALUE!</v>
      </c>
      <c r="BO96" s="2" t="e" cm="1">
        <f t="array" ref="BO96">MAX(VALUE(_xlfn.TEXTSPLIT(_参照テーブル[[#This Row],[conv]], ", ")))</f>
        <v>#VALUE!</v>
      </c>
      <c r="BP96" s="2" t="str">
        <f>IFERROR("("&amp;_参照テーブル[[#This Row],[min]]&amp;"～"&amp;_参照テーブル[[#This Row],[max]]&amp;")","")</f>
        <v/>
      </c>
      <c r="BQ96" s="2" t="e">
        <f>変換前のテーブル[[#This Row],[min_max]]</f>
        <v>#VALUE!</v>
      </c>
      <c r="BR96" s="2" t="e">
        <f>SUBSTITUTE(SUBSTITUTE(_参照テーブル[[#This Row],[list2]],"[",""),"]","")</f>
        <v>#VALUE!</v>
      </c>
      <c r="BS96" s="2" t="e" cm="1">
        <f t="array" ref="BS96">_xlfn.CHOOSECOLS(_xlfn.TEXTSPLIT(_参照テーブル[[#This Row],[list2_]],","),1)</f>
        <v>#VALUE!</v>
      </c>
      <c r="BT96" s="2" t="e" cm="1">
        <f t="array" ref="BT96">_xlfn.CHOOSECOLS(_xlfn.TEXTSPLIT(_参照テーブル[[#This Row],[list2_]],","),2)</f>
        <v>#VALUE!</v>
      </c>
      <c r="BU96" s="2" t="str">
        <f>IFERROR("("&amp;_参照テーブル[[#This Row],[min_]]&amp;"～"&amp;_参照テーブル[[#This Row],[max_]]&amp;")", "")</f>
        <v/>
      </c>
    </row>
    <row r="97" spans="63:73">
      <c r="BK97" s="2">
        <f t="shared" si="4"/>
        <v>95</v>
      </c>
      <c r="BL97" s="2" t="e">
        <f>変換前のテーブル[[#This Row],[list_item]] &amp; ""</f>
        <v>#VALUE!</v>
      </c>
      <c r="BM97" s="2" t="e">
        <f>SUBSTITUTE(SUBSTITUTE(SUBSTITUTE(_参照テーブル[[#This Row],[list]], "'", ""),"[", ""), "]", "")</f>
        <v>#VALUE!</v>
      </c>
      <c r="BN97" s="2" t="e" cm="1">
        <f t="array" ref="BN97">MIN(VALUE(_xlfn.TEXTSPLIT(_参照テーブル[[#This Row],[conv]], ", ")))</f>
        <v>#VALUE!</v>
      </c>
      <c r="BO97" s="2" t="e" cm="1">
        <f t="array" ref="BO97">MAX(VALUE(_xlfn.TEXTSPLIT(_参照テーブル[[#This Row],[conv]], ", ")))</f>
        <v>#VALUE!</v>
      </c>
      <c r="BP97" s="2" t="str">
        <f>IFERROR("("&amp;_参照テーブル[[#This Row],[min]]&amp;"～"&amp;_参照テーブル[[#This Row],[max]]&amp;")","")</f>
        <v/>
      </c>
      <c r="BQ97" s="2" t="e">
        <f>変換前のテーブル[[#This Row],[min_max]]</f>
        <v>#VALUE!</v>
      </c>
      <c r="BR97" s="2" t="e">
        <f>SUBSTITUTE(SUBSTITUTE(_参照テーブル[[#This Row],[list2]],"[",""),"]","")</f>
        <v>#VALUE!</v>
      </c>
      <c r="BS97" s="2" t="e" cm="1">
        <f t="array" ref="BS97">_xlfn.CHOOSECOLS(_xlfn.TEXTSPLIT(_参照テーブル[[#This Row],[list2_]],","),1)</f>
        <v>#VALUE!</v>
      </c>
      <c r="BT97" s="2" t="e" cm="1">
        <f t="array" ref="BT97">_xlfn.CHOOSECOLS(_xlfn.TEXTSPLIT(_参照テーブル[[#This Row],[list2_]],","),2)</f>
        <v>#VALUE!</v>
      </c>
      <c r="BU97" s="2" t="str">
        <f>IFERROR("("&amp;_参照テーブル[[#This Row],[min_]]&amp;"～"&amp;_参照テーブル[[#This Row],[max_]]&amp;")", "")</f>
        <v/>
      </c>
    </row>
    <row r="98" spans="63:73">
      <c r="BK98" s="2">
        <f t="shared" si="4"/>
        <v>96</v>
      </c>
      <c r="BL98" s="2" t="e">
        <f>変換前のテーブル[[#This Row],[list_item]] &amp; ""</f>
        <v>#VALUE!</v>
      </c>
      <c r="BM98" s="2" t="e">
        <f>SUBSTITUTE(SUBSTITUTE(SUBSTITUTE(_参照テーブル[[#This Row],[list]], "'", ""),"[", ""), "]", "")</f>
        <v>#VALUE!</v>
      </c>
      <c r="BN98" s="2" t="e" cm="1">
        <f t="array" ref="BN98">MIN(VALUE(_xlfn.TEXTSPLIT(_参照テーブル[[#This Row],[conv]], ", ")))</f>
        <v>#VALUE!</v>
      </c>
      <c r="BO98" s="2" t="e" cm="1">
        <f t="array" ref="BO98">MAX(VALUE(_xlfn.TEXTSPLIT(_参照テーブル[[#This Row],[conv]], ", ")))</f>
        <v>#VALUE!</v>
      </c>
      <c r="BP98" s="2" t="str">
        <f>IFERROR("("&amp;_参照テーブル[[#This Row],[min]]&amp;"～"&amp;_参照テーブル[[#This Row],[max]]&amp;")","")</f>
        <v/>
      </c>
      <c r="BQ98" s="2" t="e">
        <f>変換前のテーブル[[#This Row],[min_max]]</f>
        <v>#VALUE!</v>
      </c>
      <c r="BR98" s="2" t="e">
        <f>SUBSTITUTE(SUBSTITUTE(_参照テーブル[[#This Row],[list2]],"[",""),"]","")</f>
        <v>#VALUE!</v>
      </c>
      <c r="BS98" s="2" t="e" cm="1">
        <f t="array" ref="BS98">_xlfn.CHOOSECOLS(_xlfn.TEXTSPLIT(_参照テーブル[[#This Row],[list2_]],","),1)</f>
        <v>#VALUE!</v>
      </c>
      <c r="BT98" s="2" t="e" cm="1">
        <f t="array" ref="BT98">_xlfn.CHOOSECOLS(_xlfn.TEXTSPLIT(_参照テーブル[[#This Row],[list2_]],","),2)</f>
        <v>#VALUE!</v>
      </c>
      <c r="BU98" s="2" t="str">
        <f>IFERROR("("&amp;_参照テーブル[[#This Row],[min_]]&amp;"～"&amp;_参照テーブル[[#This Row],[max_]]&amp;")", "")</f>
        <v/>
      </c>
    </row>
    <row r="99" spans="63:73">
      <c r="BK99" s="2">
        <f t="shared" si="4"/>
        <v>97</v>
      </c>
      <c r="BL99" s="2" t="e">
        <f>変換前のテーブル[[#This Row],[list_item]] &amp; ""</f>
        <v>#VALUE!</v>
      </c>
      <c r="BM99" s="2" t="e">
        <f>SUBSTITUTE(SUBSTITUTE(SUBSTITUTE(_参照テーブル[[#This Row],[list]], "'", ""),"[", ""), "]", "")</f>
        <v>#VALUE!</v>
      </c>
      <c r="BN99" s="2" t="e" cm="1">
        <f t="array" ref="BN99">MIN(VALUE(_xlfn.TEXTSPLIT(_参照テーブル[[#This Row],[conv]], ", ")))</f>
        <v>#VALUE!</v>
      </c>
      <c r="BO99" s="2" t="e" cm="1">
        <f t="array" ref="BO99">MAX(VALUE(_xlfn.TEXTSPLIT(_参照テーブル[[#This Row],[conv]], ", ")))</f>
        <v>#VALUE!</v>
      </c>
      <c r="BP99" s="2" t="str">
        <f>IFERROR("("&amp;_参照テーブル[[#This Row],[min]]&amp;"～"&amp;_参照テーブル[[#This Row],[max]]&amp;")","")</f>
        <v/>
      </c>
      <c r="BQ99" s="2" t="e">
        <f>変換前のテーブル[[#This Row],[min_max]]</f>
        <v>#VALUE!</v>
      </c>
      <c r="BR99" s="2" t="e">
        <f>SUBSTITUTE(SUBSTITUTE(_参照テーブル[[#This Row],[list2]],"[",""),"]","")</f>
        <v>#VALUE!</v>
      </c>
      <c r="BS99" s="2" t="e" cm="1">
        <f t="array" ref="BS99">_xlfn.CHOOSECOLS(_xlfn.TEXTSPLIT(_参照テーブル[[#This Row],[list2_]],","),1)</f>
        <v>#VALUE!</v>
      </c>
      <c r="BT99" s="2" t="e" cm="1">
        <f t="array" ref="BT99">_xlfn.CHOOSECOLS(_xlfn.TEXTSPLIT(_参照テーブル[[#This Row],[list2_]],","),2)</f>
        <v>#VALUE!</v>
      </c>
      <c r="BU99" s="2" t="str">
        <f>IFERROR("("&amp;_参照テーブル[[#This Row],[min_]]&amp;"～"&amp;_参照テーブル[[#This Row],[max_]]&amp;")", "")</f>
        <v/>
      </c>
    </row>
    <row r="100" spans="63:73">
      <c r="BK100" s="2">
        <f t="shared" si="4"/>
        <v>98</v>
      </c>
      <c r="BL100" s="2" t="e">
        <f>変換前のテーブル[[#This Row],[list_item]] &amp; ""</f>
        <v>#VALUE!</v>
      </c>
      <c r="BM100" s="2" t="e">
        <f>SUBSTITUTE(SUBSTITUTE(SUBSTITUTE(_参照テーブル[[#This Row],[list]], "'", ""),"[", ""), "]", "")</f>
        <v>#VALUE!</v>
      </c>
      <c r="BN100" s="2" t="e" cm="1">
        <f t="array" ref="BN100">MIN(VALUE(_xlfn.TEXTSPLIT(_参照テーブル[[#This Row],[conv]], ", ")))</f>
        <v>#VALUE!</v>
      </c>
      <c r="BO100" s="2" t="e" cm="1">
        <f t="array" ref="BO100">MAX(VALUE(_xlfn.TEXTSPLIT(_参照テーブル[[#This Row],[conv]], ", ")))</f>
        <v>#VALUE!</v>
      </c>
      <c r="BP100" s="2" t="str">
        <f>IFERROR("("&amp;_参照テーブル[[#This Row],[min]]&amp;"～"&amp;_参照テーブル[[#This Row],[max]]&amp;")","")</f>
        <v/>
      </c>
      <c r="BQ100" s="2" t="e">
        <f>変換前のテーブル[[#This Row],[min_max]]</f>
        <v>#VALUE!</v>
      </c>
      <c r="BR100" s="2" t="e">
        <f>SUBSTITUTE(SUBSTITUTE(_参照テーブル[[#This Row],[list2]],"[",""),"]","")</f>
        <v>#VALUE!</v>
      </c>
      <c r="BS100" s="2" t="e" cm="1">
        <f t="array" ref="BS100">_xlfn.CHOOSECOLS(_xlfn.TEXTSPLIT(_参照テーブル[[#This Row],[list2_]],","),1)</f>
        <v>#VALUE!</v>
      </c>
      <c r="BT100" s="2" t="e" cm="1">
        <f t="array" ref="BT100">_xlfn.CHOOSECOLS(_xlfn.TEXTSPLIT(_参照テーブル[[#This Row],[list2_]],","),2)</f>
        <v>#VALUE!</v>
      </c>
      <c r="BU100" s="2" t="str">
        <f>IFERROR("("&amp;_参照テーブル[[#This Row],[min_]]&amp;"～"&amp;_参照テーブル[[#This Row],[max_]]&amp;")", "")</f>
        <v/>
      </c>
    </row>
    <row r="101" spans="63:73">
      <c r="BK101" s="2">
        <f t="shared" si="4"/>
        <v>99</v>
      </c>
      <c r="BL101" s="2" t="e">
        <f>変換前のテーブル[[#This Row],[list_item]] &amp; ""</f>
        <v>#VALUE!</v>
      </c>
      <c r="BM101" s="2" t="e">
        <f>SUBSTITUTE(SUBSTITUTE(SUBSTITUTE(_参照テーブル[[#This Row],[list]], "'", ""),"[", ""), "]", "")</f>
        <v>#VALUE!</v>
      </c>
      <c r="BN101" s="2" t="e" cm="1">
        <f t="array" ref="BN101">MIN(VALUE(_xlfn.TEXTSPLIT(_参照テーブル[[#This Row],[conv]], ", ")))</f>
        <v>#VALUE!</v>
      </c>
      <c r="BO101" s="2" t="e" cm="1">
        <f t="array" ref="BO101">MAX(VALUE(_xlfn.TEXTSPLIT(_参照テーブル[[#This Row],[conv]], ", ")))</f>
        <v>#VALUE!</v>
      </c>
      <c r="BP101" s="2" t="str">
        <f>IFERROR("("&amp;_参照テーブル[[#This Row],[min]]&amp;"～"&amp;_参照テーブル[[#This Row],[max]]&amp;")","")</f>
        <v/>
      </c>
      <c r="BQ101" s="2" t="e">
        <f>変換前のテーブル[[#This Row],[min_max]]</f>
        <v>#VALUE!</v>
      </c>
      <c r="BR101" s="2" t="e">
        <f>SUBSTITUTE(SUBSTITUTE(_参照テーブル[[#This Row],[list2]],"[",""),"]","")</f>
        <v>#VALUE!</v>
      </c>
      <c r="BS101" s="2" t="e" cm="1">
        <f t="array" ref="BS101">_xlfn.CHOOSECOLS(_xlfn.TEXTSPLIT(_参照テーブル[[#This Row],[list2_]],","),1)</f>
        <v>#VALUE!</v>
      </c>
      <c r="BT101" s="2" t="e" cm="1">
        <f t="array" ref="BT101">_xlfn.CHOOSECOLS(_xlfn.TEXTSPLIT(_参照テーブル[[#This Row],[list2_]],","),2)</f>
        <v>#VALUE!</v>
      </c>
      <c r="BU101" s="2" t="str">
        <f>IFERROR("("&amp;_参照テーブル[[#This Row],[min_]]&amp;"～"&amp;_参照テーブル[[#This Row],[max_]]&amp;")", "")</f>
        <v/>
      </c>
    </row>
    <row r="102" spans="63:73">
      <c r="BK102" s="2">
        <f t="shared" si="4"/>
        <v>100</v>
      </c>
      <c r="BL102" s="2" t="e">
        <f>変換前のテーブル[[#This Row],[list_item]] &amp; ""</f>
        <v>#VALUE!</v>
      </c>
      <c r="BM102" s="2" t="e">
        <f>SUBSTITUTE(SUBSTITUTE(SUBSTITUTE(_参照テーブル[[#This Row],[list]], "'", ""),"[", ""), "]", "")</f>
        <v>#VALUE!</v>
      </c>
      <c r="BN102" s="2" t="e" cm="1">
        <f t="array" ref="BN102">MIN(VALUE(_xlfn.TEXTSPLIT(_参照テーブル[[#This Row],[conv]], ", ")))</f>
        <v>#VALUE!</v>
      </c>
      <c r="BO102" s="2" t="e" cm="1">
        <f t="array" ref="BO102">MAX(VALUE(_xlfn.TEXTSPLIT(_参照テーブル[[#This Row],[conv]], ", ")))</f>
        <v>#VALUE!</v>
      </c>
      <c r="BP102" s="2" t="str">
        <f>IFERROR("("&amp;_参照テーブル[[#This Row],[min]]&amp;"～"&amp;_参照テーブル[[#This Row],[max]]&amp;")","")</f>
        <v/>
      </c>
      <c r="BQ102" s="2" t="e">
        <f>変換前のテーブル[[#This Row],[min_max]]</f>
        <v>#VALUE!</v>
      </c>
      <c r="BR102" s="2" t="e">
        <f>SUBSTITUTE(SUBSTITUTE(_参照テーブル[[#This Row],[list2]],"[",""),"]","")</f>
        <v>#VALUE!</v>
      </c>
      <c r="BS102" s="2" t="e" cm="1">
        <f t="array" ref="BS102">_xlfn.CHOOSECOLS(_xlfn.TEXTSPLIT(_参照テーブル[[#This Row],[list2_]],","),1)</f>
        <v>#VALUE!</v>
      </c>
      <c r="BT102" s="2" t="e" cm="1">
        <f t="array" ref="BT102">_xlfn.CHOOSECOLS(_xlfn.TEXTSPLIT(_参照テーブル[[#This Row],[list2_]],","),2)</f>
        <v>#VALUE!</v>
      </c>
      <c r="BU102" s="2" t="str">
        <f>IFERROR("("&amp;_参照テーブル[[#This Row],[min_]]&amp;"～"&amp;_参照テーブル[[#This Row],[max_]]&amp;")", "")</f>
        <v/>
      </c>
    </row>
    <row r="103" spans="63:73">
      <c r="BK103" s="2">
        <f t="shared" si="4"/>
        <v>101</v>
      </c>
      <c r="BL103" s="2" t="e">
        <f>変換前のテーブル[[#This Row],[list_item]] &amp; ""</f>
        <v>#VALUE!</v>
      </c>
      <c r="BM103" s="2" t="e">
        <f>SUBSTITUTE(SUBSTITUTE(SUBSTITUTE(_参照テーブル[[#This Row],[list]], "'", ""),"[", ""), "]", "")</f>
        <v>#VALUE!</v>
      </c>
      <c r="BN103" s="2" t="e" cm="1">
        <f t="array" ref="BN103">MIN(VALUE(_xlfn.TEXTSPLIT(_参照テーブル[[#This Row],[conv]], ", ")))</f>
        <v>#VALUE!</v>
      </c>
      <c r="BO103" s="2" t="e" cm="1">
        <f t="array" ref="BO103">MAX(VALUE(_xlfn.TEXTSPLIT(_参照テーブル[[#This Row],[conv]], ", ")))</f>
        <v>#VALUE!</v>
      </c>
      <c r="BP103" s="2" t="str">
        <f>IFERROR("("&amp;_参照テーブル[[#This Row],[min]]&amp;"～"&amp;_参照テーブル[[#This Row],[max]]&amp;")","")</f>
        <v/>
      </c>
      <c r="BQ103" s="2" t="e">
        <f>変換前のテーブル[[#This Row],[min_max]]</f>
        <v>#VALUE!</v>
      </c>
      <c r="BR103" s="2" t="e">
        <f>SUBSTITUTE(SUBSTITUTE(_参照テーブル[[#This Row],[list2]],"[",""),"]","")</f>
        <v>#VALUE!</v>
      </c>
      <c r="BS103" s="2" t="e" cm="1">
        <f t="array" ref="BS103">_xlfn.CHOOSECOLS(_xlfn.TEXTSPLIT(_参照テーブル[[#This Row],[list2_]],","),1)</f>
        <v>#VALUE!</v>
      </c>
      <c r="BT103" s="2" t="e" cm="1">
        <f t="array" ref="BT103">_xlfn.CHOOSECOLS(_xlfn.TEXTSPLIT(_参照テーブル[[#This Row],[list2_]],","),2)</f>
        <v>#VALUE!</v>
      </c>
      <c r="BU103" s="2" t="str">
        <f>IFERROR("("&amp;_参照テーブル[[#This Row],[min_]]&amp;"～"&amp;_参照テーブル[[#This Row],[max_]]&amp;")", "")</f>
        <v/>
      </c>
    </row>
    <row r="104" spans="63:73">
      <c r="BK104" s="2">
        <f t="shared" si="4"/>
        <v>102</v>
      </c>
      <c r="BL104" s="2" t="e">
        <f>変換前のテーブル[[#This Row],[list_item]] &amp; ""</f>
        <v>#VALUE!</v>
      </c>
      <c r="BM104" s="2" t="e">
        <f>SUBSTITUTE(SUBSTITUTE(SUBSTITUTE(_参照テーブル[[#This Row],[list]], "'", ""),"[", ""), "]", "")</f>
        <v>#VALUE!</v>
      </c>
      <c r="BN104" s="2" t="e" cm="1">
        <f t="array" ref="BN104">MIN(VALUE(_xlfn.TEXTSPLIT(_参照テーブル[[#This Row],[conv]], ", ")))</f>
        <v>#VALUE!</v>
      </c>
      <c r="BO104" s="2" t="e" cm="1">
        <f t="array" ref="BO104">MAX(VALUE(_xlfn.TEXTSPLIT(_参照テーブル[[#This Row],[conv]], ", ")))</f>
        <v>#VALUE!</v>
      </c>
      <c r="BP104" s="2" t="str">
        <f>IFERROR("("&amp;_参照テーブル[[#This Row],[min]]&amp;"～"&amp;_参照テーブル[[#This Row],[max]]&amp;")","")</f>
        <v/>
      </c>
      <c r="BQ104" s="2" t="e">
        <f>変換前のテーブル[[#This Row],[min_max]]</f>
        <v>#VALUE!</v>
      </c>
      <c r="BR104" s="2" t="e">
        <f>SUBSTITUTE(SUBSTITUTE(_参照テーブル[[#This Row],[list2]],"[",""),"]","")</f>
        <v>#VALUE!</v>
      </c>
      <c r="BS104" s="2" t="e" cm="1">
        <f t="array" ref="BS104">_xlfn.CHOOSECOLS(_xlfn.TEXTSPLIT(_参照テーブル[[#This Row],[list2_]],","),1)</f>
        <v>#VALUE!</v>
      </c>
      <c r="BT104" s="2" t="e" cm="1">
        <f t="array" ref="BT104">_xlfn.CHOOSECOLS(_xlfn.TEXTSPLIT(_参照テーブル[[#This Row],[list2_]],","),2)</f>
        <v>#VALUE!</v>
      </c>
      <c r="BU104" s="2" t="str">
        <f>IFERROR("("&amp;_参照テーブル[[#This Row],[min_]]&amp;"～"&amp;_参照テーブル[[#This Row],[max_]]&amp;")", "")</f>
        <v/>
      </c>
    </row>
    <row r="105" spans="63:73">
      <c r="BK105" s="2">
        <f t="shared" si="4"/>
        <v>103</v>
      </c>
      <c r="BL105" s="2" t="e">
        <f>変換前のテーブル[[#This Row],[list_item]] &amp; ""</f>
        <v>#VALUE!</v>
      </c>
      <c r="BM105" s="2" t="e">
        <f>SUBSTITUTE(SUBSTITUTE(SUBSTITUTE(_参照テーブル[[#This Row],[list]], "'", ""),"[", ""), "]", "")</f>
        <v>#VALUE!</v>
      </c>
      <c r="BN105" s="2" t="e" cm="1">
        <f t="array" ref="BN105">MIN(VALUE(_xlfn.TEXTSPLIT(_参照テーブル[[#This Row],[conv]], ", ")))</f>
        <v>#VALUE!</v>
      </c>
      <c r="BO105" s="2" t="e" cm="1">
        <f t="array" ref="BO105">MAX(VALUE(_xlfn.TEXTSPLIT(_参照テーブル[[#This Row],[conv]], ", ")))</f>
        <v>#VALUE!</v>
      </c>
      <c r="BP105" s="2" t="str">
        <f>IFERROR("("&amp;_参照テーブル[[#This Row],[min]]&amp;"～"&amp;_参照テーブル[[#This Row],[max]]&amp;")","")</f>
        <v/>
      </c>
      <c r="BQ105" s="2" t="e">
        <f>変換前のテーブル[[#This Row],[min_max]]</f>
        <v>#VALUE!</v>
      </c>
      <c r="BR105" s="2" t="e">
        <f>SUBSTITUTE(SUBSTITUTE(_参照テーブル[[#This Row],[list2]],"[",""),"]","")</f>
        <v>#VALUE!</v>
      </c>
      <c r="BS105" s="2" t="e" cm="1">
        <f t="array" ref="BS105">_xlfn.CHOOSECOLS(_xlfn.TEXTSPLIT(_参照テーブル[[#This Row],[list2_]],","),1)</f>
        <v>#VALUE!</v>
      </c>
      <c r="BT105" s="2" t="e" cm="1">
        <f t="array" ref="BT105">_xlfn.CHOOSECOLS(_xlfn.TEXTSPLIT(_参照テーブル[[#This Row],[list2_]],","),2)</f>
        <v>#VALUE!</v>
      </c>
      <c r="BU105" s="2" t="str">
        <f>IFERROR("("&amp;_参照テーブル[[#This Row],[min_]]&amp;"～"&amp;_参照テーブル[[#This Row],[max_]]&amp;")", "")</f>
        <v/>
      </c>
    </row>
    <row r="106" spans="63:73">
      <c r="BK106" s="2">
        <f t="shared" si="4"/>
        <v>104</v>
      </c>
      <c r="BL106" s="2" t="e">
        <f>変換前のテーブル[[#This Row],[list_item]] &amp; ""</f>
        <v>#VALUE!</v>
      </c>
      <c r="BM106" s="2" t="e">
        <f>SUBSTITUTE(SUBSTITUTE(SUBSTITUTE(_参照テーブル[[#This Row],[list]], "'", ""),"[", ""), "]", "")</f>
        <v>#VALUE!</v>
      </c>
      <c r="BN106" s="2" t="e" cm="1">
        <f t="array" ref="BN106">MIN(VALUE(_xlfn.TEXTSPLIT(_参照テーブル[[#This Row],[conv]], ", ")))</f>
        <v>#VALUE!</v>
      </c>
      <c r="BO106" s="2" t="e" cm="1">
        <f t="array" ref="BO106">MAX(VALUE(_xlfn.TEXTSPLIT(_参照テーブル[[#This Row],[conv]], ", ")))</f>
        <v>#VALUE!</v>
      </c>
      <c r="BP106" s="2" t="str">
        <f>IFERROR("("&amp;_参照テーブル[[#This Row],[min]]&amp;"～"&amp;_参照テーブル[[#This Row],[max]]&amp;")","")</f>
        <v/>
      </c>
      <c r="BQ106" s="2" t="e">
        <f>変換前のテーブル[[#This Row],[min_max]]</f>
        <v>#VALUE!</v>
      </c>
      <c r="BR106" s="2" t="e">
        <f>SUBSTITUTE(SUBSTITUTE(_参照テーブル[[#This Row],[list2]],"[",""),"]","")</f>
        <v>#VALUE!</v>
      </c>
      <c r="BS106" s="2" t="e" cm="1">
        <f t="array" ref="BS106">_xlfn.CHOOSECOLS(_xlfn.TEXTSPLIT(_参照テーブル[[#This Row],[list2_]],","),1)</f>
        <v>#VALUE!</v>
      </c>
      <c r="BT106" s="2" t="e" cm="1">
        <f t="array" ref="BT106">_xlfn.CHOOSECOLS(_xlfn.TEXTSPLIT(_参照テーブル[[#This Row],[list2_]],","),2)</f>
        <v>#VALUE!</v>
      </c>
      <c r="BU106" s="2" t="str">
        <f>IFERROR("("&amp;_参照テーブル[[#This Row],[min_]]&amp;"～"&amp;_参照テーブル[[#This Row],[max_]]&amp;")", "")</f>
        <v/>
      </c>
    </row>
    <row r="107" spans="63:73">
      <c r="BK107" s="2">
        <f t="shared" si="4"/>
        <v>105</v>
      </c>
      <c r="BL107" s="2" t="e">
        <f>変換前のテーブル[[#This Row],[list_item]] &amp; ""</f>
        <v>#VALUE!</v>
      </c>
      <c r="BM107" s="2" t="e">
        <f>SUBSTITUTE(SUBSTITUTE(SUBSTITUTE(_参照テーブル[[#This Row],[list]], "'", ""),"[", ""), "]", "")</f>
        <v>#VALUE!</v>
      </c>
      <c r="BN107" s="2" t="e" cm="1">
        <f t="array" ref="BN107">MIN(VALUE(_xlfn.TEXTSPLIT(_参照テーブル[[#This Row],[conv]], ", ")))</f>
        <v>#VALUE!</v>
      </c>
      <c r="BO107" s="2" t="e" cm="1">
        <f t="array" ref="BO107">MAX(VALUE(_xlfn.TEXTSPLIT(_参照テーブル[[#This Row],[conv]], ", ")))</f>
        <v>#VALUE!</v>
      </c>
      <c r="BP107" s="2" t="str">
        <f>IFERROR("("&amp;_参照テーブル[[#This Row],[min]]&amp;"～"&amp;_参照テーブル[[#This Row],[max]]&amp;")","")</f>
        <v/>
      </c>
      <c r="BQ107" s="2" t="e">
        <f>変換前のテーブル[[#This Row],[min_max]]</f>
        <v>#VALUE!</v>
      </c>
      <c r="BR107" s="2" t="e">
        <f>SUBSTITUTE(SUBSTITUTE(_参照テーブル[[#This Row],[list2]],"[",""),"]","")</f>
        <v>#VALUE!</v>
      </c>
      <c r="BS107" s="2" t="e" cm="1">
        <f t="array" ref="BS107">_xlfn.CHOOSECOLS(_xlfn.TEXTSPLIT(_参照テーブル[[#This Row],[list2_]],","),1)</f>
        <v>#VALUE!</v>
      </c>
      <c r="BT107" s="2" t="e" cm="1">
        <f t="array" ref="BT107">_xlfn.CHOOSECOLS(_xlfn.TEXTSPLIT(_参照テーブル[[#This Row],[list2_]],","),2)</f>
        <v>#VALUE!</v>
      </c>
      <c r="BU107" s="2" t="str">
        <f>IFERROR("("&amp;_参照テーブル[[#This Row],[min_]]&amp;"～"&amp;_参照テーブル[[#This Row],[max_]]&amp;")", "")</f>
        <v/>
      </c>
    </row>
    <row r="108" spans="63:73">
      <c r="BK108" s="2">
        <f t="shared" si="4"/>
        <v>106</v>
      </c>
      <c r="BL108" s="2" t="e">
        <f>変換前のテーブル[[#This Row],[list_item]] &amp; ""</f>
        <v>#VALUE!</v>
      </c>
      <c r="BM108" s="2" t="e">
        <f>SUBSTITUTE(SUBSTITUTE(SUBSTITUTE(_参照テーブル[[#This Row],[list]], "'", ""),"[", ""), "]", "")</f>
        <v>#VALUE!</v>
      </c>
      <c r="BN108" s="2" t="e" cm="1">
        <f t="array" ref="BN108">MIN(VALUE(_xlfn.TEXTSPLIT(_参照テーブル[[#This Row],[conv]], ", ")))</f>
        <v>#VALUE!</v>
      </c>
      <c r="BO108" s="2" t="e" cm="1">
        <f t="array" ref="BO108">MAX(VALUE(_xlfn.TEXTSPLIT(_参照テーブル[[#This Row],[conv]], ", ")))</f>
        <v>#VALUE!</v>
      </c>
      <c r="BP108" s="2" t="str">
        <f>IFERROR("("&amp;_参照テーブル[[#This Row],[min]]&amp;"～"&amp;_参照テーブル[[#This Row],[max]]&amp;")","")</f>
        <v/>
      </c>
      <c r="BQ108" s="2" t="e">
        <f>変換前のテーブル[[#This Row],[min_max]]</f>
        <v>#VALUE!</v>
      </c>
      <c r="BR108" s="2" t="e">
        <f>SUBSTITUTE(SUBSTITUTE(_参照テーブル[[#This Row],[list2]],"[",""),"]","")</f>
        <v>#VALUE!</v>
      </c>
      <c r="BS108" s="2" t="e" cm="1">
        <f t="array" ref="BS108">_xlfn.CHOOSECOLS(_xlfn.TEXTSPLIT(_参照テーブル[[#This Row],[list2_]],","),1)</f>
        <v>#VALUE!</v>
      </c>
      <c r="BT108" s="2" t="e" cm="1">
        <f t="array" ref="BT108">_xlfn.CHOOSECOLS(_xlfn.TEXTSPLIT(_参照テーブル[[#This Row],[list2_]],","),2)</f>
        <v>#VALUE!</v>
      </c>
      <c r="BU108" s="2" t="str">
        <f>IFERROR("("&amp;_参照テーブル[[#This Row],[min_]]&amp;"～"&amp;_参照テーブル[[#This Row],[max_]]&amp;")", "")</f>
        <v/>
      </c>
    </row>
    <row r="109" spans="63:73">
      <c r="BK109" s="2">
        <f t="shared" si="4"/>
        <v>107</v>
      </c>
      <c r="BL109" s="2" t="e">
        <f>変換前のテーブル[[#This Row],[list_item]] &amp; ""</f>
        <v>#VALUE!</v>
      </c>
      <c r="BM109" s="2" t="e">
        <f>SUBSTITUTE(SUBSTITUTE(SUBSTITUTE(_参照テーブル[[#This Row],[list]], "'", ""),"[", ""), "]", "")</f>
        <v>#VALUE!</v>
      </c>
      <c r="BN109" s="2" t="e" cm="1">
        <f t="array" ref="BN109">MIN(VALUE(_xlfn.TEXTSPLIT(_参照テーブル[[#This Row],[conv]], ", ")))</f>
        <v>#VALUE!</v>
      </c>
      <c r="BO109" s="2" t="e" cm="1">
        <f t="array" ref="BO109">MAX(VALUE(_xlfn.TEXTSPLIT(_参照テーブル[[#This Row],[conv]], ", ")))</f>
        <v>#VALUE!</v>
      </c>
      <c r="BP109" s="2" t="str">
        <f>IFERROR("("&amp;_参照テーブル[[#This Row],[min]]&amp;"～"&amp;_参照テーブル[[#This Row],[max]]&amp;")","")</f>
        <v/>
      </c>
      <c r="BQ109" s="2" t="e">
        <f>変換前のテーブル[[#This Row],[min_max]]</f>
        <v>#VALUE!</v>
      </c>
      <c r="BR109" s="2" t="e">
        <f>SUBSTITUTE(SUBSTITUTE(_参照テーブル[[#This Row],[list2]],"[",""),"]","")</f>
        <v>#VALUE!</v>
      </c>
      <c r="BS109" s="2" t="e" cm="1">
        <f t="array" ref="BS109">_xlfn.CHOOSECOLS(_xlfn.TEXTSPLIT(_参照テーブル[[#This Row],[list2_]],","),1)</f>
        <v>#VALUE!</v>
      </c>
      <c r="BT109" s="2" t="e" cm="1">
        <f t="array" ref="BT109">_xlfn.CHOOSECOLS(_xlfn.TEXTSPLIT(_参照テーブル[[#This Row],[list2_]],","),2)</f>
        <v>#VALUE!</v>
      </c>
      <c r="BU109" s="2" t="str">
        <f>IFERROR("("&amp;_参照テーブル[[#This Row],[min_]]&amp;"～"&amp;_参照テーブル[[#This Row],[max_]]&amp;")", "")</f>
        <v/>
      </c>
    </row>
    <row r="110" spans="63:73">
      <c r="BK110" s="2">
        <f t="shared" si="4"/>
        <v>108</v>
      </c>
      <c r="BL110" s="2" t="e">
        <f>変換前のテーブル[[#This Row],[list_item]] &amp; ""</f>
        <v>#VALUE!</v>
      </c>
      <c r="BM110" s="2" t="e">
        <f>SUBSTITUTE(SUBSTITUTE(SUBSTITUTE(_参照テーブル[[#This Row],[list]], "'", ""),"[", ""), "]", "")</f>
        <v>#VALUE!</v>
      </c>
      <c r="BN110" s="2" t="e" cm="1">
        <f t="array" ref="BN110">MIN(VALUE(_xlfn.TEXTSPLIT(_参照テーブル[[#This Row],[conv]], ", ")))</f>
        <v>#VALUE!</v>
      </c>
      <c r="BO110" s="2" t="e" cm="1">
        <f t="array" ref="BO110">MAX(VALUE(_xlfn.TEXTSPLIT(_参照テーブル[[#This Row],[conv]], ", ")))</f>
        <v>#VALUE!</v>
      </c>
      <c r="BP110" s="2" t="str">
        <f>IFERROR("("&amp;_参照テーブル[[#This Row],[min]]&amp;"～"&amp;_参照テーブル[[#This Row],[max]]&amp;")","")</f>
        <v/>
      </c>
      <c r="BQ110" s="2" t="e">
        <f>変換前のテーブル[[#This Row],[min_max]]</f>
        <v>#VALUE!</v>
      </c>
      <c r="BR110" s="2" t="e">
        <f>SUBSTITUTE(SUBSTITUTE(_参照テーブル[[#This Row],[list2]],"[",""),"]","")</f>
        <v>#VALUE!</v>
      </c>
      <c r="BS110" s="2" t="e" cm="1">
        <f t="array" ref="BS110">_xlfn.CHOOSECOLS(_xlfn.TEXTSPLIT(_参照テーブル[[#This Row],[list2_]],","),1)</f>
        <v>#VALUE!</v>
      </c>
      <c r="BT110" s="2" t="e" cm="1">
        <f t="array" ref="BT110">_xlfn.CHOOSECOLS(_xlfn.TEXTSPLIT(_参照テーブル[[#This Row],[list2_]],","),2)</f>
        <v>#VALUE!</v>
      </c>
      <c r="BU110" s="2" t="str">
        <f>IFERROR("("&amp;_参照テーブル[[#This Row],[min_]]&amp;"～"&amp;_参照テーブル[[#This Row],[max_]]&amp;")", "")</f>
        <v/>
      </c>
    </row>
    <row r="111" spans="63:73">
      <c r="BK111" s="2">
        <f t="shared" si="4"/>
        <v>109</v>
      </c>
      <c r="BL111" s="2" t="e">
        <f>変換前のテーブル[[#This Row],[list_item]] &amp; ""</f>
        <v>#VALUE!</v>
      </c>
      <c r="BM111" s="2" t="e">
        <f>SUBSTITUTE(SUBSTITUTE(SUBSTITUTE(_参照テーブル[[#This Row],[list]], "'", ""),"[", ""), "]", "")</f>
        <v>#VALUE!</v>
      </c>
      <c r="BN111" s="2" t="e" cm="1">
        <f t="array" ref="BN111">MIN(VALUE(_xlfn.TEXTSPLIT(_参照テーブル[[#This Row],[conv]], ", ")))</f>
        <v>#VALUE!</v>
      </c>
      <c r="BO111" s="2" t="e" cm="1">
        <f t="array" ref="BO111">MAX(VALUE(_xlfn.TEXTSPLIT(_参照テーブル[[#This Row],[conv]], ", ")))</f>
        <v>#VALUE!</v>
      </c>
      <c r="BP111" s="2" t="str">
        <f>IFERROR("("&amp;_参照テーブル[[#This Row],[min]]&amp;"～"&amp;_参照テーブル[[#This Row],[max]]&amp;")","")</f>
        <v/>
      </c>
      <c r="BQ111" s="2" t="e">
        <f>変換前のテーブル[[#This Row],[min_max]]</f>
        <v>#VALUE!</v>
      </c>
      <c r="BR111" s="2" t="e">
        <f>SUBSTITUTE(SUBSTITUTE(_参照テーブル[[#This Row],[list2]],"[",""),"]","")</f>
        <v>#VALUE!</v>
      </c>
      <c r="BS111" s="2" t="e" cm="1">
        <f t="array" ref="BS111">_xlfn.CHOOSECOLS(_xlfn.TEXTSPLIT(_参照テーブル[[#This Row],[list2_]],","),1)</f>
        <v>#VALUE!</v>
      </c>
      <c r="BT111" s="2" t="e" cm="1">
        <f t="array" ref="BT111">_xlfn.CHOOSECOLS(_xlfn.TEXTSPLIT(_参照テーブル[[#This Row],[list2_]],","),2)</f>
        <v>#VALUE!</v>
      </c>
      <c r="BU111" s="2" t="str">
        <f>IFERROR("("&amp;_参照テーブル[[#This Row],[min_]]&amp;"～"&amp;_参照テーブル[[#This Row],[max_]]&amp;")", "")</f>
        <v/>
      </c>
    </row>
    <row r="112" spans="63:73">
      <c r="BK112" s="2">
        <f t="shared" si="4"/>
        <v>110</v>
      </c>
      <c r="BL112" s="2" t="e">
        <f>変換前のテーブル[[#This Row],[list_item]] &amp; ""</f>
        <v>#VALUE!</v>
      </c>
      <c r="BM112" s="2" t="e">
        <f>SUBSTITUTE(SUBSTITUTE(SUBSTITUTE(_参照テーブル[[#This Row],[list]], "'", ""),"[", ""), "]", "")</f>
        <v>#VALUE!</v>
      </c>
      <c r="BN112" s="2" t="e" cm="1">
        <f t="array" ref="BN112">MIN(VALUE(_xlfn.TEXTSPLIT(_参照テーブル[[#This Row],[conv]], ", ")))</f>
        <v>#VALUE!</v>
      </c>
      <c r="BO112" s="2" t="e" cm="1">
        <f t="array" ref="BO112">MAX(VALUE(_xlfn.TEXTSPLIT(_参照テーブル[[#This Row],[conv]], ", ")))</f>
        <v>#VALUE!</v>
      </c>
      <c r="BP112" s="2" t="str">
        <f>IFERROR("("&amp;_参照テーブル[[#This Row],[min]]&amp;"～"&amp;_参照テーブル[[#This Row],[max]]&amp;")","")</f>
        <v/>
      </c>
      <c r="BQ112" s="2" t="e">
        <f>変換前のテーブル[[#This Row],[min_max]]</f>
        <v>#VALUE!</v>
      </c>
      <c r="BR112" s="2" t="e">
        <f>SUBSTITUTE(SUBSTITUTE(_参照テーブル[[#This Row],[list2]],"[",""),"]","")</f>
        <v>#VALUE!</v>
      </c>
      <c r="BS112" s="2" t="e" cm="1">
        <f t="array" ref="BS112">_xlfn.CHOOSECOLS(_xlfn.TEXTSPLIT(_参照テーブル[[#This Row],[list2_]],","),1)</f>
        <v>#VALUE!</v>
      </c>
      <c r="BT112" s="2" t="e" cm="1">
        <f t="array" ref="BT112">_xlfn.CHOOSECOLS(_xlfn.TEXTSPLIT(_参照テーブル[[#This Row],[list2_]],","),2)</f>
        <v>#VALUE!</v>
      </c>
      <c r="BU112" s="2" t="str">
        <f>IFERROR("("&amp;_参照テーブル[[#This Row],[min_]]&amp;"～"&amp;_参照テーブル[[#This Row],[max_]]&amp;")", "")</f>
        <v/>
      </c>
    </row>
    <row r="113" spans="63:73">
      <c r="BK113" s="2">
        <f t="shared" si="4"/>
        <v>111</v>
      </c>
      <c r="BL113" s="2" t="e">
        <f>変換前のテーブル[[#This Row],[list_item]] &amp; ""</f>
        <v>#VALUE!</v>
      </c>
      <c r="BM113" s="2" t="e">
        <f>SUBSTITUTE(SUBSTITUTE(SUBSTITUTE(_参照テーブル[[#This Row],[list]], "'", ""),"[", ""), "]", "")</f>
        <v>#VALUE!</v>
      </c>
      <c r="BN113" s="2" t="e" cm="1">
        <f t="array" ref="BN113">MIN(VALUE(_xlfn.TEXTSPLIT(_参照テーブル[[#This Row],[conv]], ", ")))</f>
        <v>#VALUE!</v>
      </c>
      <c r="BO113" s="2" t="e" cm="1">
        <f t="array" ref="BO113">MAX(VALUE(_xlfn.TEXTSPLIT(_参照テーブル[[#This Row],[conv]], ", ")))</f>
        <v>#VALUE!</v>
      </c>
      <c r="BP113" s="2" t="str">
        <f>IFERROR("("&amp;_参照テーブル[[#This Row],[min]]&amp;"～"&amp;_参照テーブル[[#This Row],[max]]&amp;")","")</f>
        <v/>
      </c>
      <c r="BQ113" s="2" t="e">
        <f>変換前のテーブル[[#This Row],[min_max]]</f>
        <v>#VALUE!</v>
      </c>
      <c r="BR113" s="2" t="e">
        <f>SUBSTITUTE(SUBSTITUTE(_参照テーブル[[#This Row],[list2]],"[",""),"]","")</f>
        <v>#VALUE!</v>
      </c>
      <c r="BS113" s="2" t="e" cm="1">
        <f t="array" ref="BS113">_xlfn.CHOOSECOLS(_xlfn.TEXTSPLIT(_参照テーブル[[#This Row],[list2_]],","),1)</f>
        <v>#VALUE!</v>
      </c>
      <c r="BT113" s="2" t="e" cm="1">
        <f t="array" ref="BT113">_xlfn.CHOOSECOLS(_xlfn.TEXTSPLIT(_参照テーブル[[#This Row],[list2_]],","),2)</f>
        <v>#VALUE!</v>
      </c>
      <c r="BU113" s="2" t="str">
        <f>IFERROR("("&amp;_参照テーブル[[#This Row],[min_]]&amp;"～"&amp;_参照テーブル[[#This Row],[max_]]&amp;")", "")</f>
        <v/>
      </c>
    </row>
    <row r="114" spans="63:73">
      <c r="BK114" s="2">
        <f t="shared" si="4"/>
        <v>112</v>
      </c>
      <c r="BL114" s="2" t="e">
        <f>変換前のテーブル[[#This Row],[list_item]] &amp; ""</f>
        <v>#VALUE!</v>
      </c>
      <c r="BM114" s="2" t="e">
        <f>SUBSTITUTE(SUBSTITUTE(SUBSTITUTE(_参照テーブル[[#This Row],[list]], "'", ""),"[", ""), "]", "")</f>
        <v>#VALUE!</v>
      </c>
      <c r="BN114" s="2" t="e" cm="1">
        <f t="array" ref="BN114">MIN(VALUE(_xlfn.TEXTSPLIT(_参照テーブル[[#This Row],[conv]], ", ")))</f>
        <v>#VALUE!</v>
      </c>
      <c r="BO114" s="2" t="e" cm="1">
        <f t="array" ref="BO114">MAX(VALUE(_xlfn.TEXTSPLIT(_参照テーブル[[#This Row],[conv]], ", ")))</f>
        <v>#VALUE!</v>
      </c>
      <c r="BP114" s="2" t="str">
        <f>IFERROR("("&amp;_参照テーブル[[#This Row],[min]]&amp;"～"&amp;_参照テーブル[[#This Row],[max]]&amp;")","")</f>
        <v/>
      </c>
      <c r="BQ114" s="2" t="e">
        <f>変換前のテーブル[[#This Row],[min_max]]</f>
        <v>#VALUE!</v>
      </c>
      <c r="BR114" s="2" t="e">
        <f>SUBSTITUTE(SUBSTITUTE(_参照テーブル[[#This Row],[list2]],"[",""),"]","")</f>
        <v>#VALUE!</v>
      </c>
      <c r="BS114" s="2" t="e" cm="1">
        <f t="array" ref="BS114">_xlfn.CHOOSECOLS(_xlfn.TEXTSPLIT(_参照テーブル[[#This Row],[list2_]],","),1)</f>
        <v>#VALUE!</v>
      </c>
      <c r="BT114" s="2" t="e" cm="1">
        <f t="array" ref="BT114">_xlfn.CHOOSECOLS(_xlfn.TEXTSPLIT(_参照テーブル[[#This Row],[list2_]],","),2)</f>
        <v>#VALUE!</v>
      </c>
      <c r="BU114" s="2" t="str">
        <f>IFERROR("("&amp;_参照テーブル[[#This Row],[min_]]&amp;"～"&amp;_参照テーブル[[#This Row],[max_]]&amp;")", "")</f>
        <v/>
      </c>
    </row>
    <row r="115" spans="63:73">
      <c r="BK115" s="2">
        <f t="shared" si="4"/>
        <v>113</v>
      </c>
      <c r="BL115" s="2" t="e">
        <f>変換前のテーブル[[#This Row],[list_item]] &amp; ""</f>
        <v>#VALUE!</v>
      </c>
      <c r="BM115" s="2" t="e">
        <f>SUBSTITUTE(SUBSTITUTE(SUBSTITUTE(_参照テーブル[[#This Row],[list]], "'", ""),"[", ""), "]", "")</f>
        <v>#VALUE!</v>
      </c>
      <c r="BN115" s="2" t="e" cm="1">
        <f t="array" ref="BN115">MIN(VALUE(_xlfn.TEXTSPLIT(_参照テーブル[[#This Row],[conv]], ", ")))</f>
        <v>#VALUE!</v>
      </c>
      <c r="BO115" s="2" t="e" cm="1">
        <f t="array" ref="BO115">MAX(VALUE(_xlfn.TEXTSPLIT(_参照テーブル[[#This Row],[conv]], ", ")))</f>
        <v>#VALUE!</v>
      </c>
      <c r="BP115" s="2" t="str">
        <f>IFERROR("("&amp;_参照テーブル[[#This Row],[min]]&amp;"～"&amp;_参照テーブル[[#This Row],[max]]&amp;")","")</f>
        <v/>
      </c>
      <c r="BQ115" s="2" t="e">
        <f>変換前のテーブル[[#This Row],[min_max]]</f>
        <v>#VALUE!</v>
      </c>
      <c r="BR115" s="2" t="e">
        <f>SUBSTITUTE(SUBSTITUTE(_参照テーブル[[#This Row],[list2]],"[",""),"]","")</f>
        <v>#VALUE!</v>
      </c>
      <c r="BS115" s="2" t="e" cm="1">
        <f t="array" ref="BS115">_xlfn.CHOOSECOLS(_xlfn.TEXTSPLIT(_参照テーブル[[#This Row],[list2_]],","),1)</f>
        <v>#VALUE!</v>
      </c>
      <c r="BT115" s="2" t="e" cm="1">
        <f t="array" ref="BT115">_xlfn.CHOOSECOLS(_xlfn.TEXTSPLIT(_参照テーブル[[#This Row],[list2_]],","),2)</f>
        <v>#VALUE!</v>
      </c>
      <c r="BU115" s="2" t="str">
        <f>IFERROR("("&amp;_参照テーブル[[#This Row],[min_]]&amp;"～"&amp;_参照テーブル[[#This Row],[max_]]&amp;")", "")</f>
        <v/>
      </c>
    </row>
    <row r="116" spans="63:73">
      <c r="BK116" s="2">
        <f t="shared" si="4"/>
        <v>114</v>
      </c>
      <c r="BL116" s="2" t="e">
        <f>変換前のテーブル[[#This Row],[list_item]] &amp; ""</f>
        <v>#VALUE!</v>
      </c>
      <c r="BM116" s="2" t="e">
        <f>SUBSTITUTE(SUBSTITUTE(SUBSTITUTE(_参照テーブル[[#This Row],[list]], "'", ""),"[", ""), "]", "")</f>
        <v>#VALUE!</v>
      </c>
      <c r="BN116" s="2" t="e" cm="1">
        <f t="array" ref="BN116">MIN(VALUE(_xlfn.TEXTSPLIT(_参照テーブル[[#This Row],[conv]], ", ")))</f>
        <v>#VALUE!</v>
      </c>
      <c r="BO116" s="2" t="e" cm="1">
        <f t="array" ref="BO116">MAX(VALUE(_xlfn.TEXTSPLIT(_参照テーブル[[#This Row],[conv]], ", ")))</f>
        <v>#VALUE!</v>
      </c>
      <c r="BP116" s="2" t="str">
        <f>IFERROR("("&amp;_参照テーブル[[#This Row],[min]]&amp;"～"&amp;_参照テーブル[[#This Row],[max]]&amp;")","")</f>
        <v/>
      </c>
      <c r="BQ116" s="2" t="e">
        <f>変換前のテーブル[[#This Row],[min_max]]</f>
        <v>#VALUE!</v>
      </c>
      <c r="BR116" s="2" t="e">
        <f>SUBSTITUTE(SUBSTITUTE(_参照テーブル[[#This Row],[list2]],"[",""),"]","")</f>
        <v>#VALUE!</v>
      </c>
      <c r="BS116" s="2" t="e" cm="1">
        <f t="array" ref="BS116">_xlfn.CHOOSECOLS(_xlfn.TEXTSPLIT(_参照テーブル[[#This Row],[list2_]],","),1)</f>
        <v>#VALUE!</v>
      </c>
      <c r="BT116" s="2" t="e" cm="1">
        <f t="array" ref="BT116">_xlfn.CHOOSECOLS(_xlfn.TEXTSPLIT(_参照テーブル[[#This Row],[list2_]],","),2)</f>
        <v>#VALUE!</v>
      </c>
      <c r="BU116" s="2" t="str">
        <f>IFERROR("("&amp;_参照テーブル[[#This Row],[min_]]&amp;"～"&amp;_参照テーブル[[#This Row],[max_]]&amp;")", "")</f>
        <v/>
      </c>
    </row>
    <row r="117" spans="63:73">
      <c r="BK117" s="2">
        <f t="shared" si="4"/>
        <v>115</v>
      </c>
      <c r="BL117" s="2" t="e">
        <f>変換前のテーブル[[#This Row],[list_item]] &amp; ""</f>
        <v>#VALUE!</v>
      </c>
      <c r="BM117" s="2" t="e">
        <f>SUBSTITUTE(SUBSTITUTE(SUBSTITUTE(_参照テーブル[[#This Row],[list]], "'", ""),"[", ""), "]", "")</f>
        <v>#VALUE!</v>
      </c>
      <c r="BN117" s="2" t="e" cm="1">
        <f t="array" ref="BN117">MIN(VALUE(_xlfn.TEXTSPLIT(_参照テーブル[[#This Row],[conv]], ", ")))</f>
        <v>#VALUE!</v>
      </c>
      <c r="BO117" s="2" t="e" cm="1">
        <f t="array" ref="BO117">MAX(VALUE(_xlfn.TEXTSPLIT(_参照テーブル[[#This Row],[conv]], ", ")))</f>
        <v>#VALUE!</v>
      </c>
      <c r="BP117" s="2" t="str">
        <f>IFERROR("("&amp;_参照テーブル[[#This Row],[min]]&amp;"～"&amp;_参照テーブル[[#This Row],[max]]&amp;")","")</f>
        <v/>
      </c>
      <c r="BQ117" s="2" t="e">
        <f>変換前のテーブル[[#This Row],[min_max]]</f>
        <v>#VALUE!</v>
      </c>
      <c r="BR117" s="2" t="e">
        <f>SUBSTITUTE(SUBSTITUTE(_参照テーブル[[#This Row],[list2]],"[",""),"]","")</f>
        <v>#VALUE!</v>
      </c>
      <c r="BS117" s="2" t="e" cm="1">
        <f t="array" ref="BS117">_xlfn.CHOOSECOLS(_xlfn.TEXTSPLIT(_参照テーブル[[#This Row],[list2_]],","),1)</f>
        <v>#VALUE!</v>
      </c>
      <c r="BT117" s="2" t="e" cm="1">
        <f t="array" ref="BT117">_xlfn.CHOOSECOLS(_xlfn.TEXTSPLIT(_参照テーブル[[#This Row],[list2_]],","),2)</f>
        <v>#VALUE!</v>
      </c>
      <c r="BU117" s="2" t="str">
        <f>IFERROR("("&amp;_参照テーブル[[#This Row],[min_]]&amp;"～"&amp;_参照テーブル[[#This Row],[max_]]&amp;")", "")</f>
        <v/>
      </c>
    </row>
    <row r="118" spans="63:73">
      <c r="BK118" s="2">
        <f t="shared" si="4"/>
        <v>116</v>
      </c>
      <c r="BL118" s="2" t="e">
        <f>変換前のテーブル[[#This Row],[list_item]] &amp; ""</f>
        <v>#VALUE!</v>
      </c>
      <c r="BM118" s="2" t="e">
        <f>SUBSTITUTE(SUBSTITUTE(SUBSTITUTE(_参照テーブル[[#This Row],[list]], "'", ""),"[", ""), "]", "")</f>
        <v>#VALUE!</v>
      </c>
      <c r="BN118" s="2" t="e" cm="1">
        <f t="array" ref="BN118">MIN(VALUE(_xlfn.TEXTSPLIT(_参照テーブル[[#This Row],[conv]], ", ")))</f>
        <v>#VALUE!</v>
      </c>
      <c r="BO118" s="2" t="e" cm="1">
        <f t="array" ref="BO118">MAX(VALUE(_xlfn.TEXTSPLIT(_参照テーブル[[#This Row],[conv]], ", ")))</f>
        <v>#VALUE!</v>
      </c>
      <c r="BP118" s="2" t="str">
        <f>IFERROR("("&amp;_参照テーブル[[#This Row],[min]]&amp;"～"&amp;_参照テーブル[[#This Row],[max]]&amp;")","")</f>
        <v/>
      </c>
      <c r="BQ118" s="2" t="e">
        <f>変換前のテーブル[[#This Row],[min_max]]</f>
        <v>#VALUE!</v>
      </c>
      <c r="BR118" s="2" t="e">
        <f>SUBSTITUTE(SUBSTITUTE(_参照テーブル[[#This Row],[list2]],"[",""),"]","")</f>
        <v>#VALUE!</v>
      </c>
      <c r="BS118" s="2" t="e" cm="1">
        <f t="array" ref="BS118">_xlfn.CHOOSECOLS(_xlfn.TEXTSPLIT(_参照テーブル[[#This Row],[list2_]],","),1)</f>
        <v>#VALUE!</v>
      </c>
      <c r="BT118" s="2" t="e" cm="1">
        <f t="array" ref="BT118">_xlfn.CHOOSECOLS(_xlfn.TEXTSPLIT(_参照テーブル[[#This Row],[list2_]],","),2)</f>
        <v>#VALUE!</v>
      </c>
      <c r="BU118" s="2" t="str">
        <f>IFERROR("("&amp;_参照テーブル[[#This Row],[min_]]&amp;"～"&amp;_参照テーブル[[#This Row],[max_]]&amp;")", "")</f>
        <v/>
      </c>
    </row>
    <row r="119" spans="63:73">
      <c r="BK119" s="2">
        <f t="shared" si="4"/>
        <v>117</v>
      </c>
      <c r="BL119" s="2" t="e">
        <f>変換前のテーブル[[#This Row],[list_item]] &amp; ""</f>
        <v>#VALUE!</v>
      </c>
      <c r="BM119" s="2" t="e">
        <f>SUBSTITUTE(SUBSTITUTE(SUBSTITUTE(_参照テーブル[[#This Row],[list]], "'", ""),"[", ""), "]", "")</f>
        <v>#VALUE!</v>
      </c>
      <c r="BN119" s="2" t="e" cm="1">
        <f t="array" ref="BN119">MIN(VALUE(_xlfn.TEXTSPLIT(_参照テーブル[[#This Row],[conv]], ", ")))</f>
        <v>#VALUE!</v>
      </c>
      <c r="BO119" s="2" t="e" cm="1">
        <f t="array" ref="BO119">MAX(VALUE(_xlfn.TEXTSPLIT(_参照テーブル[[#This Row],[conv]], ", ")))</f>
        <v>#VALUE!</v>
      </c>
      <c r="BP119" s="2" t="str">
        <f>IFERROR("("&amp;_参照テーブル[[#This Row],[min]]&amp;"～"&amp;_参照テーブル[[#This Row],[max]]&amp;")","")</f>
        <v/>
      </c>
      <c r="BQ119" s="2" t="e">
        <f>変換前のテーブル[[#This Row],[min_max]]</f>
        <v>#VALUE!</v>
      </c>
      <c r="BR119" s="2" t="e">
        <f>SUBSTITUTE(SUBSTITUTE(_参照テーブル[[#This Row],[list2]],"[",""),"]","")</f>
        <v>#VALUE!</v>
      </c>
      <c r="BS119" s="2" t="e" cm="1">
        <f t="array" ref="BS119">_xlfn.CHOOSECOLS(_xlfn.TEXTSPLIT(_参照テーブル[[#This Row],[list2_]],","),1)</f>
        <v>#VALUE!</v>
      </c>
      <c r="BT119" s="2" t="e" cm="1">
        <f t="array" ref="BT119">_xlfn.CHOOSECOLS(_xlfn.TEXTSPLIT(_参照テーブル[[#This Row],[list2_]],","),2)</f>
        <v>#VALUE!</v>
      </c>
      <c r="BU119" s="2" t="str">
        <f>IFERROR("("&amp;_参照テーブル[[#This Row],[min_]]&amp;"～"&amp;_参照テーブル[[#This Row],[max_]]&amp;")", "")</f>
        <v/>
      </c>
    </row>
    <row r="120" spans="63:73">
      <c r="BK120" s="2">
        <f t="shared" si="4"/>
        <v>118</v>
      </c>
      <c r="BL120" s="2" t="e">
        <f>変換前のテーブル[[#This Row],[list_item]] &amp; ""</f>
        <v>#VALUE!</v>
      </c>
      <c r="BM120" s="2" t="e">
        <f>SUBSTITUTE(SUBSTITUTE(SUBSTITUTE(_参照テーブル[[#This Row],[list]], "'", ""),"[", ""), "]", "")</f>
        <v>#VALUE!</v>
      </c>
      <c r="BN120" s="2" t="e" cm="1">
        <f t="array" ref="BN120">MIN(VALUE(_xlfn.TEXTSPLIT(_参照テーブル[[#This Row],[conv]], ", ")))</f>
        <v>#VALUE!</v>
      </c>
      <c r="BO120" s="2" t="e" cm="1">
        <f t="array" ref="BO120">MAX(VALUE(_xlfn.TEXTSPLIT(_参照テーブル[[#This Row],[conv]], ", ")))</f>
        <v>#VALUE!</v>
      </c>
      <c r="BP120" s="2" t="str">
        <f>IFERROR("("&amp;_参照テーブル[[#This Row],[min]]&amp;"～"&amp;_参照テーブル[[#This Row],[max]]&amp;")","")</f>
        <v/>
      </c>
      <c r="BQ120" s="2" t="e">
        <f>変換前のテーブル[[#This Row],[min_max]]</f>
        <v>#VALUE!</v>
      </c>
      <c r="BR120" s="2" t="e">
        <f>SUBSTITUTE(SUBSTITUTE(_参照テーブル[[#This Row],[list2]],"[",""),"]","")</f>
        <v>#VALUE!</v>
      </c>
      <c r="BS120" s="2" t="e" cm="1">
        <f t="array" ref="BS120">_xlfn.CHOOSECOLS(_xlfn.TEXTSPLIT(_参照テーブル[[#This Row],[list2_]],","),1)</f>
        <v>#VALUE!</v>
      </c>
      <c r="BT120" s="2" t="e" cm="1">
        <f t="array" ref="BT120">_xlfn.CHOOSECOLS(_xlfn.TEXTSPLIT(_参照テーブル[[#This Row],[list2_]],","),2)</f>
        <v>#VALUE!</v>
      </c>
      <c r="BU120" s="2" t="str">
        <f>IFERROR("("&amp;_参照テーブル[[#This Row],[min_]]&amp;"～"&amp;_参照テーブル[[#This Row],[max_]]&amp;")", "")</f>
        <v/>
      </c>
    </row>
    <row r="121" spans="63:73">
      <c r="BK121" s="2">
        <f t="shared" si="4"/>
        <v>119</v>
      </c>
      <c r="BL121" s="2" t="e">
        <f>変換前のテーブル[[#This Row],[list_item]] &amp; ""</f>
        <v>#VALUE!</v>
      </c>
      <c r="BM121" s="2" t="e">
        <f>SUBSTITUTE(SUBSTITUTE(SUBSTITUTE(_参照テーブル[[#This Row],[list]], "'", ""),"[", ""), "]", "")</f>
        <v>#VALUE!</v>
      </c>
      <c r="BN121" s="2" t="e" cm="1">
        <f t="array" ref="BN121">MIN(VALUE(_xlfn.TEXTSPLIT(_参照テーブル[[#This Row],[conv]], ", ")))</f>
        <v>#VALUE!</v>
      </c>
      <c r="BO121" s="2" t="e" cm="1">
        <f t="array" ref="BO121">MAX(VALUE(_xlfn.TEXTSPLIT(_参照テーブル[[#This Row],[conv]], ", ")))</f>
        <v>#VALUE!</v>
      </c>
      <c r="BP121" s="2" t="str">
        <f>IFERROR("("&amp;_参照テーブル[[#This Row],[min]]&amp;"～"&amp;_参照テーブル[[#This Row],[max]]&amp;")","")</f>
        <v/>
      </c>
      <c r="BQ121" s="2" t="e">
        <f>変換前のテーブル[[#This Row],[min_max]]</f>
        <v>#VALUE!</v>
      </c>
      <c r="BR121" s="2" t="e">
        <f>SUBSTITUTE(SUBSTITUTE(_参照テーブル[[#This Row],[list2]],"[",""),"]","")</f>
        <v>#VALUE!</v>
      </c>
      <c r="BS121" s="2" t="e" cm="1">
        <f t="array" ref="BS121">_xlfn.CHOOSECOLS(_xlfn.TEXTSPLIT(_参照テーブル[[#This Row],[list2_]],","),1)</f>
        <v>#VALUE!</v>
      </c>
      <c r="BT121" s="2" t="e" cm="1">
        <f t="array" ref="BT121">_xlfn.CHOOSECOLS(_xlfn.TEXTSPLIT(_参照テーブル[[#This Row],[list2_]],","),2)</f>
        <v>#VALUE!</v>
      </c>
      <c r="BU121" s="2" t="str">
        <f>IFERROR("("&amp;_参照テーブル[[#This Row],[min_]]&amp;"～"&amp;_参照テーブル[[#This Row],[max_]]&amp;")", "")</f>
        <v/>
      </c>
    </row>
    <row r="122" spans="63:73">
      <c r="BK122" s="2">
        <f t="shared" si="4"/>
        <v>120</v>
      </c>
      <c r="BL122" s="2" t="e">
        <f>変換前のテーブル[[#This Row],[list_item]] &amp; ""</f>
        <v>#VALUE!</v>
      </c>
      <c r="BM122" s="2" t="e">
        <f>SUBSTITUTE(SUBSTITUTE(SUBSTITUTE(_参照テーブル[[#This Row],[list]], "'", ""),"[", ""), "]", "")</f>
        <v>#VALUE!</v>
      </c>
      <c r="BN122" s="2" t="e" cm="1">
        <f t="array" ref="BN122">MIN(VALUE(_xlfn.TEXTSPLIT(_参照テーブル[[#This Row],[conv]], ", ")))</f>
        <v>#VALUE!</v>
      </c>
      <c r="BO122" s="2" t="e" cm="1">
        <f t="array" ref="BO122">MAX(VALUE(_xlfn.TEXTSPLIT(_参照テーブル[[#This Row],[conv]], ", ")))</f>
        <v>#VALUE!</v>
      </c>
      <c r="BP122" s="2" t="str">
        <f>IFERROR("("&amp;_参照テーブル[[#This Row],[min]]&amp;"～"&amp;_参照テーブル[[#This Row],[max]]&amp;")","")</f>
        <v/>
      </c>
      <c r="BQ122" s="2" t="e">
        <f>変換前のテーブル[[#This Row],[min_max]]</f>
        <v>#VALUE!</v>
      </c>
      <c r="BR122" s="2" t="e">
        <f>SUBSTITUTE(SUBSTITUTE(_参照テーブル[[#This Row],[list2]],"[",""),"]","")</f>
        <v>#VALUE!</v>
      </c>
      <c r="BS122" s="2" t="e" cm="1">
        <f t="array" ref="BS122">_xlfn.CHOOSECOLS(_xlfn.TEXTSPLIT(_参照テーブル[[#This Row],[list2_]],","),1)</f>
        <v>#VALUE!</v>
      </c>
      <c r="BT122" s="2" t="e" cm="1">
        <f t="array" ref="BT122">_xlfn.CHOOSECOLS(_xlfn.TEXTSPLIT(_参照テーブル[[#This Row],[list2_]],","),2)</f>
        <v>#VALUE!</v>
      </c>
      <c r="BU122" s="2" t="str">
        <f>IFERROR("("&amp;_参照テーブル[[#This Row],[min_]]&amp;"～"&amp;_参照テーブル[[#This Row],[max_]]&amp;")", "")</f>
        <v/>
      </c>
    </row>
    <row r="123" spans="63:73">
      <c r="BK123" s="2">
        <f t="shared" si="4"/>
        <v>121</v>
      </c>
      <c r="BL123" s="2" t="e">
        <f>変換前のテーブル[[#This Row],[list_item]] &amp; ""</f>
        <v>#VALUE!</v>
      </c>
      <c r="BM123" s="2" t="e">
        <f>SUBSTITUTE(SUBSTITUTE(SUBSTITUTE(_参照テーブル[[#This Row],[list]], "'", ""),"[", ""), "]", "")</f>
        <v>#VALUE!</v>
      </c>
      <c r="BN123" s="2" t="e" cm="1">
        <f t="array" ref="BN123">MIN(VALUE(_xlfn.TEXTSPLIT(_参照テーブル[[#This Row],[conv]], ", ")))</f>
        <v>#VALUE!</v>
      </c>
      <c r="BO123" s="2" t="e" cm="1">
        <f t="array" ref="BO123">MAX(VALUE(_xlfn.TEXTSPLIT(_参照テーブル[[#This Row],[conv]], ", ")))</f>
        <v>#VALUE!</v>
      </c>
      <c r="BP123" s="2" t="str">
        <f>IFERROR("("&amp;_参照テーブル[[#This Row],[min]]&amp;"～"&amp;_参照テーブル[[#This Row],[max]]&amp;")","")</f>
        <v/>
      </c>
      <c r="BQ123" s="2" t="e">
        <f>変換前のテーブル[[#This Row],[min_max]]</f>
        <v>#VALUE!</v>
      </c>
      <c r="BR123" s="2" t="e">
        <f>SUBSTITUTE(SUBSTITUTE(_参照テーブル[[#This Row],[list2]],"[",""),"]","")</f>
        <v>#VALUE!</v>
      </c>
      <c r="BS123" s="2" t="e" cm="1">
        <f t="array" ref="BS123">_xlfn.CHOOSECOLS(_xlfn.TEXTSPLIT(_参照テーブル[[#This Row],[list2_]],","),1)</f>
        <v>#VALUE!</v>
      </c>
      <c r="BT123" s="2" t="e" cm="1">
        <f t="array" ref="BT123">_xlfn.CHOOSECOLS(_xlfn.TEXTSPLIT(_参照テーブル[[#This Row],[list2_]],","),2)</f>
        <v>#VALUE!</v>
      </c>
      <c r="BU123" s="2" t="str">
        <f>IFERROR("("&amp;_参照テーブル[[#This Row],[min_]]&amp;"～"&amp;_参照テーブル[[#This Row],[max_]]&amp;")", "")</f>
        <v/>
      </c>
    </row>
    <row r="124" spans="63:73">
      <c r="BK124" s="2">
        <f t="shared" si="4"/>
        <v>122</v>
      </c>
      <c r="BL124" s="2" t="e">
        <f>変換前のテーブル[[#This Row],[list_item]] &amp; ""</f>
        <v>#VALUE!</v>
      </c>
      <c r="BM124" s="2" t="e">
        <f>SUBSTITUTE(SUBSTITUTE(SUBSTITUTE(_参照テーブル[[#This Row],[list]], "'", ""),"[", ""), "]", "")</f>
        <v>#VALUE!</v>
      </c>
      <c r="BN124" s="2" t="e" cm="1">
        <f t="array" ref="BN124">MIN(VALUE(_xlfn.TEXTSPLIT(_参照テーブル[[#This Row],[conv]], ", ")))</f>
        <v>#VALUE!</v>
      </c>
      <c r="BO124" s="2" t="e" cm="1">
        <f t="array" ref="BO124">MAX(VALUE(_xlfn.TEXTSPLIT(_参照テーブル[[#This Row],[conv]], ", ")))</f>
        <v>#VALUE!</v>
      </c>
      <c r="BP124" s="2" t="str">
        <f>IFERROR("("&amp;_参照テーブル[[#This Row],[min]]&amp;"～"&amp;_参照テーブル[[#This Row],[max]]&amp;")","")</f>
        <v/>
      </c>
      <c r="BQ124" s="2" t="e">
        <f>変換前のテーブル[[#This Row],[min_max]]</f>
        <v>#VALUE!</v>
      </c>
      <c r="BR124" s="2" t="e">
        <f>SUBSTITUTE(SUBSTITUTE(_参照テーブル[[#This Row],[list2]],"[",""),"]","")</f>
        <v>#VALUE!</v>
      </c>
      <c r="BS124" s="2" t="e" cm="1">
        <f t="array" ref="BS124">_xlfn.CHOOSECOLS(_xlfn.TEXTSPLIT(_参照テーブル[[#This Row],[list2_]],","),1)</f>
        <v>#VALUE!</v>
      </c>
      <c r="BT124" s="2" t="e" cm="1">
        <f t="array" ref="BT124">_xlfn.CHOOSECOLS(_xlfn.TEXTSPLIT(_参照テーブル[[#This Row],[list2_]],","),2)</f>
        <v>#VALUE!</v>
      </c>
      <c r="BU124" s="2" t="str">
        <f>IFERROR("("&amp;_参照テーブル[[#This Row],[min_]]&amp;"～"&amp;_参照テーブル[[#This Row],[max_]]&amp;")", "")</f>
        <v/>
      </c>
    </row>
    <row r="125" spans="63:73">
      <c r="BK125" s="2">
        <f t="shared" si="4"/>
        <v>123</v>
      </c>
      <c r="BL125" s="2" t="e">
        <f>変換前のテーブル[[#This Row],[list_item]] &amp; ""</f>
        <v>#VALUE!</v>
      </c>
      <c r="BM125" s="2" t="e">
        <f>SUBSTITUTE(SUBSTITUTE(SUBSTITUTE(_参照テーブル[[#This Row],[list]], "'", ""),"[", ""), "]", "")</f>
        <v>#VALUE!</v>
      </c>
      <c r="BN125" s="2" t="e" cm="1">
        <f t="array" ref="BN125">MIN(VALUE(_xlfn.TEXTSPLIT(_参照テーブル[[#This Row],[conv]], ", ")))</f>
        <v>#VALUE!</v>
      </c>
      <c r="BO125" s="2" t="e" cm="1">
        <f t="array" ref="BO125">MAX(VALUE(_xlfn.TEXTSPLIT(_参照テーブル[[#This Row],[conv]], ", ")))</f>
        <v>#VALUE!</v>
      </c>
      <c r="BP125" s="2" t="str">
        <f>IFERROR("("&amp;_参照テーブル[[#This Row],[min]]&amp;"～"&amp;_参照テーブル[[#This Row],[max]]&amp;")","")</f>
        <v/>
      </c>
      <c r="BQ125" s="2" t="e">
        <f>変換前のテーブル[[#This Row],[min_max]]</f>
        <v>#VALUE!</v>
      </c>
      <c r="BR125" s="2" t="e">
        <f>SUBSTITUTE(SUBSTITUTE(_参照テーブル[[#This Row],[list2]],"[",""),"]","")</f>
        <v>#VALUE!</v>
      </c>
      <c r="BS125" s="2" t="e" cm="1">
        <f t="array" ref="BS125">_xlfn.CHOOSECOLS(_xlfn.TEXTSPLIT(_参照テーブル[[#This Row],[list2_]],","),1)</f>
        <v>#VALUE!</v>
      </c>
      <c r="BT125" s="2" t="e" cm="1">
        <f t="array" ref="BT125">_xlfn.CHOOSECOLS(_xlfn.TEXTSPLIT(_参照テーブル[[#This Row],[list2_]],","),2)</f>
        <v>#VALUE!</v>
      </c>
      <c r="BU125" s="2" t="str">
        <f>IFERROR("("&amp;_参照テーブル[[#This Row],[min_]]&amp;"～"&amp;_参照テーブル[[#This Row],[max_]]&amp;")", "")</f>
        <v/>
      </c>
    </row>
    <row r="126" spans="63:73">
      <c r="BK126" s="2">
        <f t="shared" si="4"/>
        <v>124</v>
      </c>
      <c r="BL126" s="2" t="e">
        <f>変換前のテーブル[[#This Row],[list_item]] &amp; ""</f>
        <v>#VALUE!</v>
      </c>
      <c r="BM126" s="2" t="e">
        <f>SUBSTITUTE(SUBSTITUTE(SUBSTITUTE(_参照テーブル[[#This Row],[list]], "'", ""),"[", ""), "]", "")</f>
        <v>#VALUE!</v>
      </c>
      <c r="BN126" s="2" t="e" cm="1">
        <f t="array" ref="BN126">MIN(VALUE(_xlfn.TEXTSPLIT(_参照テーブル[[#This Row],[conv]], ", ")))</f>
        <v>#VALUE!</v>
      </c>
      <c r="BO126" s="2" t="e" cm="1">
        <f t="array" ref="BO126">MAX(VALUE(_xlfn.TEXTSPLIT(_参照テーブル[[#This Row],[conv]], ", ")))</f>
        <v>#VALUE!</v>
      </c>
      <c r="BP126" s="2" t="str">
        <f>IFERROR("("&amp;_参照テーブル[[#This Row],[min]]&amp;"～"&amp;_参照テーブル[[#This Row],[max]]&amp;")","")</f>
        <v/>
      </c>
      <c r="BQ126" s="2" t="e">
        <f>変換前のテーブル[[#This Row],[min_max]]</f>
        <v>#VALUE!</v>
      </c>
      <c r="BR126" s="2" t="e">
        <f>SUBSTITUTE(SUBSTITUTE(_参照テーブル[[#This Row],[list2]],"[",""),"]","")</f>
        <v>#VALUE!</v>
      </c>
      <c r="BS126" s="2" t="e" cm="1">
        <f t="array" ref="BS126">_xlfn.CHOOSECOLS(_xlfn.TEXTSPLIT(_参照テーブル[[#This Row],[list2_]],","),1)</f>
        <v>#VALUE!</v>
      </c>
      <c r="BT126" s="2" t="e" cm="1">
        <f t="array" ref="BT126">_xlfn.CHOOSECOLS(_xlfn.TEXTSPLIT(_参照テーブル[[#This Row],[list2_]],","),2)</f>
        <v>#VALUE!</v>
      </c>
      <c r="BU126" s="2" t="str">
        <f>IFERROR("("&amp;_参照テーブル[[#This Row],[min_]]&amp;"～"&amp;_参照テーブル[[#This Row],[max_]]&amp;")", "")</f>
        <v/>
      </c>
    </row>
    <row r="127" spans="63:73">
      <c r="BK127" s="2">
        <f t="shared" si="4"/>
        <v>125</v>
      </c>
      <c r="BL127" s="2" t="e">
        <f>変換前のテーブル[[#This Row],[list_item]] &amp; ""</f>
        <v>#VALUE!</v>
      </c>
      <c r="BM127" s="2" t="e">
        <f>SUBSTITUTE(SUBSTITUTE(SUBSTITUTE(_参照テーブル[[#This Row],[list]], "'", ""),"[", ""), "]", "")</f>
        <v>#VALUE!</v>
      </c>
      <c r="BN127" s="2" t="e" cm="1">
        <f t="array" ref="BN127">MIN(VALUE(_xlfn.TEXTSPLIT(_参照テーブル[[#This Row],[conv]], ", ")))</f>
        <v>#VALUE!</v>
      </c>
      <c r="BO127" s="2" t="e" cm="1">
        <f t="array" ref="BO127">MAX(VALUE(_xlfn.TEXTSPLIT(_参照テーブル[[#This Row],[conv]], ", ")))</f>
        <v>#VALUE!</v>
      </c>
      <c r="BP127" s="2" t="str">
        <f>IFERROR("("&amp;_参照テーブル[[#This Row],[min]]&amp;"～"&amp;_参照テーブル[[#This Row],[max]]&amp;")","")</f>
        <v/>
      </c>
      <c r="BQ127" s="2" t="e">
        <f>変換前のテーブル[[#This Row],[min_max]]</f>
        <v>#VALUE!</v>
      </c>
      <c r="BR127" s="2" t="e">
        <f>SUBSTITUTE(SUBSTITUTE(_参照テーブル[[#This Row],[list2]],"[",""),"]","")</f>
        <v>#VALUE!</v>
      </c>
      <c r="BS127" s="2" t="e" cm="1">
        <f t="array" ref="BS127">_xlfn.CHOOSECOLS(_xlfn.TEXTSPLIT(_参照テーブル[[#This Row],[list2_]],","),1)</f>
        <v>#VALUE!</v>
      </c>
      <c r="BT127" s="2" t="e" cm="1">
        <f t="array" ref="BT127">_xlfn.CHOOSECOLS(_xlfn.TEXTSPLIT(_参照テーブル[[#This Row],[list2_]],","),2)</f>
        <v>#VALUE!</v>
      </c>
      <c r="BU127" s="2" t="str">
        <f>IFERROR("("&amp;_参照テーブル[[#This Row],[min_]]&amp;"～"&amp;_参照テーブル[[#This Row],[max_]]&amp;")", "")</f>
        <v/>
      </c>
    </row>
    <row r="128" spans="63:73">
      <c r="BK128" s="2">
        <f t="shared" si="4"/>
        <v>126</v>
      </c>
      <c r="BL128" s="2" t="e">
        <f>変換前のテーブル[[#This Row],[list_item]] &amp; ""</f>
        <v>#VALUE!</v>
      </c>
      <c r="BM128" s="2" t="e">
        <f>SUBSTITUTE(SUBSTITUTE(SUBSTITUTE(_参照テーブル[[#This Row],[list]], "'", ""),"[", ""), "]", "")</f>
        <v>#VALUE!</v>
      </c>
      <c r="BN128" s="2" t="e" cm="1">
        <f t="array" ref="BN128">MIN(VALUE(_xlfn.TEXTSPLIT(_参照テーブル[[#This Row],[conv]], ", ")))</f>
        <v>#VALUE!</v>
      </c>
      <c r="BO128" s="2" t="e" cm="1">
        <f t="array" ref="BO128">MAX(VALUE(_xlfn.TEXTSPLIT(_参照テーブル[[#This Row],[conv]], ", ")))</f>
        <v>#VALUE!</v>
      </c>
      <c r="BP128" s="2" t="str">
        <f>IFERROR("("&amp;_参照テーブル[[#This Row],[min]]&amp;"～"&amp;_参照テーブル[[#This Row],[max]]&amp;")","")</f>
        <v/>
      </c>
      <c r="BQ128" s="2" t="e">
        <f>変換前のテーブル[[#This Row],[min_max]]</f>
        <v>#VALUE!</v>
      </c>
      <c r="BR128" s="2" t="e">
        <f>SUBSTITUTE(SUBSTITUTE(_参照テーブル[[#This Row],[list2]],"[",""),"]","")</f>
        <v>#VALUE!</v>
      </c>
      <c r="BS128" s="2" t="e" cm="1">
        <f t="array" ref="BS128">_xlfn.CHOOSECOLS(_xlfn.TEXTSPLIT(_参照テーブル[[#This Row],[list2_]],","),1)</f>
        <v>#VALUE!</v>
      </c>
      <c r="BT128" s="2" t="e" cm="1">
        <f t="array" ref="BT128">_xlfn.CHOOSECOLS(_xlfn.TEXTSPLIT(_参照テーブル[[#This Row],[list2_]],","),2)</f>
        <v>#VALUE!</v>
      </c>
      <c r="BU128" s="2" t="str">
        <f>IFERROR("("&amp;_参照テーブル[[#This Row],[min_]]&amp;"～"&amp;_参照テーブル[[#This Row],[max_]]&amp;")", "")</f>
        <v/>
      </c>
    </row>
    <row r="129" spans="63:73">
      <c r="BK129" s="2">
        <f t="shared" si="4"/>
        <v>127</v>
      </c>
      <c r="BL129" s="2" t="e">
        <f>変換前のテーブル[[#This Row],[list_item]] &amp; ""</f>
        <v>#VALUE!</v>
      </c>
      <c r="BM129" s="2" t="e">
        <f>SUBSTITUTE(SUBSTITUTE(SUBSTITUTE(_参照テーブル[[#This Row],[list]], "'", ""),"[", ""), "]", "")</f>
        <v>#VALUE!</v>
      </c>
      <c r="BN129" s="2" t="e" cm="1">
        <f t="array" ref="BN129">MIN(VALUE(_xlfn.TEXTSPLIT(_参照テーブル[[#This Row],[conv]], ", ")))</f>
        <v>#VALUE!</v>
      </c>
      <c r="BO129" s="2" t="e" cm="1">
        <f t="array" ref="BO129">MAX(VALUE(_xlfn.TEXTSPLIT(_参照テーブル[[#This Row],[conv]], ", ")))</f>
        <v>#VALUE!</v>
      </c>
      <c r="BP129" s="2" t="str">
        <f>IFERROR("("&amp;_参照テーブル[[#This Row],[min]]&amp;"～"&amp;_参照テーブル[[#This Row],[max]]&amp;")","")</f>
        <v/>
      </c>
      <c r="BQ129" s="2" t="e">
        <f>変換前のテーブル[[#This Row],[min_max]]</f>
        <v>#VALUE!</v>
      </c>
      <c r="BR129" s="2" t="e">
        <f>SUBSTITUTE(SUBSTITUTE(_参照テーブル[[#This Row],[list2]],"[",""),"]","")</f>
        <v>#VALUE!</v>
      </c>
      <c r="BS129" s="2" t="e" cm="1">
        <f t="array" ref="BS129">_xlfn.CHOOSECOLS(_xlfn.TEXTSPLIT(_参照テーブル[[#This Row],[list2_]],","),1)</f>
        <v>#VALUE!</v>
      </c>
      <c r="BT129" s="2" t="e" cm="1">
        <f t="array" ref="BT129">_xlfn.CHOOSECOLS(_xlfn.TEXTSPLIT(_参照テーブル[[#This Row],[list2_]],","),2)</f>
        <v>#VALUE!</v>
      </c>
      <c r="BU129" s="2" t="str">
        <f>IFERROR("("&amp;_参照テーブル[[#This Row],[min_]]&amp;"～"&amp;_参照テーブル[[#This Row],[max_]]&amp;")", "")</f>
        <v/>
      </c>
    </row>
    <row r="130" spans="63:73">
      <c r="BK130" s="2">
        <f t="shared" si="4"/>
        <v>128</v>
      </c>
      <c r="BL130" s="2" t="e">
        <f>変換前のテーブル[[#This Row],[list_item]] &amp; ""</f>
        <v>#VALUE!</v>
      </c>
      <c r="BM130" s="2" t="e">
        <f>SUBSTITUTE(SUBSTITUTE(SUBSTITUTE(_参照テーブル[[#This Row],[list]], "'", ""),"[", ""), "]", "")</f>
        <v>#VALUE!</v>
      </c>
      <c r="BN130" s="2" t="e" cm="1">
        <f t="array" ref="BN130">MIN(VALUE(_xlfn.TEXTSPLIT(_参照テーブル[[#This Row],[conv]], ", ")))</f>
        <v>#VALUE!</v>
      </c>
      <c r="BO130" s="2" t="e" cm="1">
        <f t="array" ref="BO130">MAX(VALUE(_xlfn.TEXTSPLIT(_参照テーブル[[#This Row],[conv]], ", ")))</f>
        <v>#VALUE!</v>
      </c>
      <c r="BP130" s="2" t="str">
        <f>IFERROR("("&amp;_参照テーブル[[#This Row],[min]]&amp;"～"&amp;_参照テーブル[[#This Row],[max]]&amp;")","")</f>
        <v/>
      </c>
      <c r="BQ130" s="2" t="e">
        <f>変換前のテーブル[[#This Row],[min_max]]</f>
        <v>#VALUE!</v>
      </c>
      <c r="BR130" s="2" t="e">
        <f>SUBSTITUTE(SUBSTITUTE(_参照テーブル[[#This Row],[list2]],"[",""),"]","")</f>
        <v>#VALUE!</v>
      </c>
      <c r="BS130" s="2" t="e" cm="1">
        <f t="array" ref="BS130">_xlfn.CHOOSECOLS(_xlfn.TEXTSPLIT(_参照テーブル[[#This Row],[list2_]],","),1)</f>
        <v>#VALUE!</v>
      </c>
      <c r="BT130" s="2" t="e" cm="1">
        <f t="array" ref="BT130">_xlfn.CHOOSECOLS(_xlfn.TEXTSPLIT(_参照テーブル[[#This Row],[list2_]],","),2)</f>
        <v>#VALUE!</v>
      </c>
      <c r="BU130" s="2" t="str">
        <f>IFERROR("("&amp;_参照テーブル[[#This Row],[min_]]&amp;"～"&amp;_参照テーブル[[#This Row],[max_]]&amp;")", "")</f>
        <v/>
      </c>
    </row>
    <row r="131" spans="63:73">
      <c r="BK131" s="2">
        <f t="shared" si="4"/>
        <v>129</v>
      </c>
      <c r="BL131" s="2" t="e">
        <f>変換前のテーブル[[#This Row],[list_item]] &amp; ""</f>
        <v>#VALUE!</v>
      </c>
      <c r="BM131" s="2" t="e">
        <f>SUBSTITUTE(SUBSTITUTE(SUBSTITUTE(_参照テーブル[[#This Row],[list]], "'", ""),"[", ""), "]", "")</f>
        <v>#VALUE!</v>
      </c>
      <c r="BN131" s="2" t="e" cm="1">
        <f t="array" ref="BN131">MIN(VALUE(_xlfn.TEXTSPLIT(_参照テーブル[[#This Row],[conv]], ", ")))</f>
        <v>#VALUE!</v>
      </c>
      <c r="BO131" s="2" t="e" cm="1">
        <f t="array" ref="BO131">MAX(VALUE(_xlfn.TEXTSPLIT(_参照テーブル[[#This Row],[conv]], ", ")))</f>
        <v>#VALUE!</v>
      </c>
      <c r="BP131" s="2" t="str">
        <f>IFERROR("("&amp;_参照テーブル[[#This Row],[min]]&amp;"～"&amp;_参照テーブル[[#This Row],[max]]&amp;")","")</f>
        <v/>
      </c>
      <c r="BQ131" s="2" t="e">
        <f>変換前のテーブル[[#This Row],[min_max]]</f>
        <v>#VALUE!</v>
      </c>
      <c r="BR131" s="2" t="e">
        <f>SUBSTITUTE(SUBSTITUTE(_参照テーブル[[#This Row],[list2]],"[",""),"]","")</f>
        <v>#VALUE!</v>
      </c>
      <c r="BS131" s="2" t="e" cm="1">
        <f t="array" ref="BS131">_xlfn.CHOOSECOLS(_xlfn.TEXTSPLIT(_参照テーブル[[#This Row],[list2_]],","),1)</f>
        <v>#VALUE!</v>
      </c>
      <c r="BT131" s="2" t="e" cm="1">
        <f t="array" ref="BT131">_xlfn.CHOOSECOLS(_xlfn.TEXTSPLIT(_参照テーブル[[#This Row],[list2_]],","),2)</f>
        <v>#VALUE!</v>
      </c>
      <c r="BU131" s="2" t="str">
        <f>IFERROR("("&amp;_参照テーブル[[#This Row],[min_]]&amp;"～"&amp;_参照テーブル[[#This Row],[max_]]&amp;")", "")</f>
        <v/>
      </c>
    </row>
    <row r="132" spans="63:73">
      <c r="BK132" s="2">
        <f t="shared" ref="BK132:BK133" si="5">BK131+1</f>
        <v>130</v>
      </c>
      <c r="BL132" s="2" t="e">
        <f>変換前のテーブル[[#This Row],[list_item]] &amp; ""</f>
        <v>#VALUE!</v>
      </c>
      <c r="BM132" s="2" t="e">
        <f>SUBSTITUTE(SUBSTITUTE(SUBSTITUTE(_参照テーブル[[#This Row],[list]], "'", ""),"[", ""), "]", "")</f>
        <v>#VALUE!</v>
      </c>
      <c r="BN132" s="2" t="e" cm="1">
        <f t="array" ref="BN132">MIN(VALUE(_xlfn.TEXTSPLIT(_参照テーブル[[#This Row],[conv]], ", ")))</f>
        <v>#VALUE!</v>
      </c>
      <c r="BO132" s="2" t="e" cm="1">
        <f t="array" ref="BO132">MAX(VALUE(_xlfn.TEXTSPLIT(_参照テーブル[[#This Row],[conv]], ", ")))</f>
        <v>#VALUE!</v>
      </c>
      <c r="BP132" s="2" t="str">
        <f>IFERROR("("&amp;_参照テーブル[[#This Row],[min]]&amp;"～"&amp;_参照テーブル[[#This Row],[max]]&amp;")","")</f>
        <v/>
      </c>
      <c r="BQ132" s="2" t="e">
        <f>変換前のテーブル[[#This Row],[min_max]]</f>
        <v>#VALUE!</v>
      </c>
      <c r="BR132" s="2" t="e">
        <f>SUBSTITUTE(SUBSTITUTE(_参照テーブル[[#This Row],[list2]],"[",""),"]","")</f>
        <v>#VALUE!</v>
      </c>
      <c r="BS132" s="2" t="e" cm="1">
        <f t="array" ref="BS132">_xlfn.CHOOSECOLS(_xlfn.TEXTSPLIT(_参照テーブル[[#This Row],[list2_]],","),1)</f>
        <v>#VALUE!</v>
      </c>
      <c r="BT132" s="2" t="e" cm="1">
        <f t="array" ref="BT132">_xlfn.CHOOSECOLS(_xlfn.TEXTSPLIT(_参照テーブル[[#This Row],[list2_]],","),2)</f>
        <v>#VALUE!</v>
      </c>
      <c r="BU132" s="2" t="str">
        <f>IFERROR("("&amp;_参照テーブル[[#This Row],[min_]]&amp;"～"&amp;_参照テーブル[[#This Row],[max_]]&amp;")", "")</f>
        <v/>
      </c>
    </row>
    <row r="133" spans="63:73">
      <c r="BK133" s="2">
        <f t="shared" si="5"/>
        <v>131</v>
      </c>
      <c r="BL133" s="2" t="e">
        <f>変換前のテーブル[[#This Row],[list_item]] &amp; ""</f>
        <v>#VALUE!</v>
      </c>
      <c r="BM133" s="2" t="e">
        <f>SUBSTITUTE(SUBSTITUTE(SUBSTITUTE(_参照テーブル[[#This Row],[list]], "'", ""),"[", ""), "]", "")</f>
        <v>#VALUE!</v>
      </c>
      <c r="BN133" s="2" t="e" cm="1">
        <f t="array" ref="BN133">MIN(VALUE(_xlfn.TEXTSPLIT(_参照テーブル[[#This Row],[conv]], ", ")))</f>
        <v>#VALUE!</v>
      </c>
      <c r="BO133" s="2" t="e" cm="1">
        <f t="array" ref="BO133">MAX(VALUE(_xlfn.TEXTSPLIT(_参照テーブル[[#This Row],[conv]], ", ")))</f>
        <v>#VALUE!</v>
      </c>
      <c r="BP133" s="2" t="str">
        <f>IFERROR("("&amp;_参照テーブル[[#This Row],[min]]&amp;"～"&amp;_参照テーブル[[#This Row],[max]]&amp;")","")</f>
        <v/>
      </c>
      <c r="BQ133" s="2" t="e">
        <f>変換前のテーブル[[#This Row],[min_max]]</f>
        <v>#VALUE!</v>
      </c>
      <c r="BR133" s="2" t="e">
        <f>SUBSTITUTE(SUBSTITUTE(_参照テーブル[[#This Row],[list2]],"[",""),"]","")</f>
        <v>#VALUE!</v>
      </c>
      <c r="BS133" s="2" t="e" cm="1">
        <f t="array" ref="BS133">_xlfn.CHOOSECOLS(_xlfn.TEXTSPLIT(_参照テーブル[[#This Row],[list2_]],","),1)</f>
        <v>#VALUE!</v>
      </c>
      <c r="BT133" s="2" t="e" cm="1">
        <f t="array" ref="BT133">_xlfn.CHOOSECOLS(_xlfn.TEXTSPLIT(_参照テーブル[[#This Row],[list2_]],","),2)</f>
        <v>#VALUE!</v>
      </c>
      <c r="BU133" s="2" t="str">
        <f>IFERROR("("&amp;_参照テーブル[[#This Row],[min_]]&amp;"～"&amp;_参照テーブル[[#This Row],[max_]]&amp;")", "")</f>
        <v/>
      </c>
    </row>
  </sheetData>
  <phoneticPr fontId="1"/>
  <conditionalFormatting sqref="C2:C16">
    <cfRule type="containsText" dxfId="4" priority="1" operator="containsText" text="radd">
      <formula>NOT(ISERROR(SEARCH("radd",C2)))</formula>
    </cfRule>
    <cfRule type="containsText" dxfId="3" priority="2" operator="containsText" text="range">
      <formula>NOT(ISERROR(SEARCH("range",C2)))</formula>
    </cfRule>
    <cfRule type="containsText" dxfId="2" priority="3" operator="containsText" text="len">
      <formula>NOT(ISERROR(SEARCH("len",C2)))</formula>
    </cfRule>
    <cfRule type="containsText" dxfId="1" priority="4" operator="containsText" text="inli">
      <formula>NOT(ISERROR(SEARCH("inli",C2)))</formula>
    </cfRule>
    <cfRule type="notContainsText" dxfId="0" priority="5" operator="notContains" text="str">
      <formula>ISERROR(SEARCH("str",C2))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A1F0-0972-4D3B-A0B8-436719E7E15D}">
  <sheetPr codeName="Sheet2">
    <tabColor rgb="FF92D050"/>
  </sheetPr>
  <dimension ref="A2:A261"/>
  <sheetViews>
    <sheetView zoomScaleNormal="100" workbookViewId="0">
      <selection activeCell="A16" sqref="A2:A16"/>
    </sheetView>
  </sheetViews>
  <sheetFormatPr defaultColWidth="8.69921875" defaultRowHeight="13.2"/>
  <cols>
    <col min="1" max="1" width="255.5" style="22" customWidth="1"/>
    <col min="2" max="2" width="6.59765625" style="22" customWidth="1"/>
    <col min="3" max="16384" width="8.69921875" style="22"/>
  </cols>
  <sheetData>
    <row r="2" spans="1:1">
      <c r="A2" s="21" t="str">
        <f ca="1">"{"&amp;_xlfn.TEXTJOIN(", ",TRUE,calcu2!A2:AZ2)&amp;"},"</f>
        <v>{'index': 0, 'display_name': 'ID:', 'data_type': 'hankaku-eisu-kuromaru_lenjust', 'label_name': 'label_0_', 'line_edit_name': 'lineEdit_0_', 'is_last': -1, 'line_edit_obj': '', 'ime_mode': 'en', 'pn_auto_input': 'null', 'text_conversion': '', 'label_obj': '', 'frame_a_obj': '', 'frame_a_name': 'frame_0_', 'frame_b_obj': '', 'frame_b_name': 'frame__0__', 'layout_a_name': 'horizontalLayout_0_', 'layout_a_obj': '', 'layout_b_name': 'horizontalLayout__0__', 'layout_b_obj': '', 'info': 'ID: 数字10桁', 'is_rept': False, 'is_show': True, 'list_item': 0, 'name': 'ID', 'replace_keys': 0, 'replace_values': 0, 'is_b_line_show': 0, 'length': 10, 'min_max': 0, 're': '', 'remarks': 0},</v>
      </c>
    </row>
    <row r="3" spans="1:1">
      <c r="A3" s="21" t="str">
        <f ca="1">"{"&amp;_xlfn.TEXTJOIN(", ",TRUE,calcu2!A3:AZ3)&amp;"},"</f>
        <v>{'index': 1, 'display_name': '登録情報:', 'data_type': 'hankaku-eisu-kuromaru', 'label_name': 'label_1_', 'line_edit_name': 'lineEdit_1_', 'is_last': 0, 'line_edit_obj': '', 'ime_mode': 'en', 'pn_auto_input': 'null', 'text_conversion': '', 'label_obj': '', 'frame_a_obj': '', 'frame_a_name': 'frame_0_', 'frame_b_obj': '', 'frame_b_name': 'frame__1__', 'layout_a_name': 'horizontalLayout_0_', 'layout_a_obj': '', 'layout_b_name': 'horizontalLayout__1__', 'layout_b_obj': '', 'info': '登録情報: 変更なし=1 変更あり=2', 'is_rept': False, 'is_show': True, 'list_item': 0, 'name': '登録情報', 'replace_keys': 0, 'replace_values': 0, 'is_b_line_show': 0, 'length': 0, 'min_max': 0, 're': '', 'remarks': 0},</v>
      </c>
    </row>
    <row r="4" spans="1:1">
      <c r="A4" s="21" t="str">
        <f ca="1">"{"&amp;_xlfn.TEXTJOIN(", ",TRUE,calcu2!A4:AZ4)&amp;"},"</f>
        <v>{'index': 2, 'display_name': '郵便番号:', 'data_type': 'hankaku-eisu-kuromaru', 'label_name': 'label_2_', 'line_edit_name': 'lineEdit_2_', 'is_last': 0, 'line_edit_obj': '', 'ime_mode': 'en', 'pn_auto_input': 'postnum', 'text_conversion': 'han', 'label_obj': '', 'frame_a_obj': '', 'frame_a_name': 'frame_0_', 'frame_b_obj': '', 'frame_b_name': 'frame__2__', 'layout_a_name': 'horizontalLayout_1_', 'layout_a_obj': '', 'layout_b_name': 'horizontalLayout__2__', 'layout_b_obj': '', 'info': '郵便番号: ハイフンなし7桁', 'is_rept': False, 'is_show': True, 'list_item': 0, 'name': '郵便番号', 'replace_keys': 0, 'replace_values': 0, 'is_b_line_show': True, 'length': 0, 'min_max': 0, 're': '', 'remarks': 0},</v>
      </c>
    </row>
    <row r="5" spans="1:1">
      <c r="A5" s="21" t="str">
        <f ca="1">"{"&amp;_xlfn.TEXTJOIN(", ",TRUE,calcu2!A5:AZ5)&amp;"},"</f>
        <v>{'index': 3, 'display_name': '都道府県:', 'data_type': 'str', 'label_name': 'label_3_', 'line_edit_name': 'lineEdit_3_', 'is_last': 0, 'line_edit_obj': '', 'ime_mode': 'jp', 'pn_auto_input': 'pref', 'text_conversion': 'han-ans', 'label_obj': '', 'frame_a_obj': '', 'frame_a_name': 'frame_1_', 'frame_b_obj': '', 'frame_b_name': 'frame__3__', 'layout_a_name': 'horizontalLayout_1_', 'layout_a_obj': '', 'layout_b_name': 'horizontalLayout__3__', 'layout_b_obj': '', 'info': '都道府県: ', 'is_rept': False, 'is_show': True, 'list_item': 0, 'name': '都道府県', 'replace_keys': 0, 'replace_values': 0, 'is_b_line_show': 0, 'length': 0, 'min_max': 0, 're': '', 'remarks': 0},</v>
      </c>
    </row>
    <row r="6" spans="1:1">
      <c r="A6" s="21" t="str">
        <f ca="1">"{"&amp;_xlfn.TEXTJOIN(", ",TRUE,calcu2!A6:AZ6)&amp;"},"</f>
        <v>{'index': 4, 'display_name': '市区町村:', 'data_type': 'str', 'label_name': 'label_4_', 'line_edit_name': 'lineEdit_4_', 'is_last': 0, 'line_edit_obj': '', 'ime_mode': 'jp', 'pn_auto_input': 'city', 'text_conversion': 'han-ans', 'label_obj': '', 'frame_a_obj': '', 'frame_a_name': 'frame_1_', 'frame_b_obj': '', 'frame_b_name': 'frame__4__', 'layout_a_name': 'horizontalLayout_1_', 'layout_a_obj': '', 'layout_b_name': 'horizontalLayout__4__', 'layout_b_obj': '', 'info': '市区町村: ', 'is_rept': False, 'is_show': True, 'list_item': 0, 'name': '市区町村', 'replace_keys': 0, 'replace_values': 0, 'is_b_line_show': 0, 'length': 0, 'min_max': 0, 're': '', 'remarks': 0},</v>
      </c>
    </row>
    <row r="7" spans="1:1">
      <c r="A7" s="21" t="str">
        <f ca="1">"{"&amp;_xlfn.TEXTJOIN(", ",TRUE,calcu2!A7:AZ7)&amp;"},"</f>
        <v>{'index': 5, 'display_name': '町域番地:', 'data_type': 'str', 'label_name': 'label_5_', 'line_edit_name': 'lineEdit_5_', 'is_last': 0, 'line_edit_obj': '', 'ime_mode': 'jp', 'pn_auto_input': 'town', 'text_conversion': 'han-ans', 'label_obj': '', 'frame_a_obj': '', 'frame_a_name': 'frame_1_', 'frame_b_obj': '', 'frame_b_name': 'frame__5__', 'layout_a_name': 'horizontalLayout_2_', 'layout_a_obj': '', 'layout_b_name': 'horizontalLayout__5__', 'layout_b_obj': '', 'info': '町域番地: ', 'is_rept': False, 'is_show': True, 'list_item': 0, 'name': '町域番地', 'replace_keys': 0, 'replace_values': 0, 'is_b_line_show': 0, 'length': 0, 'min_max': 0, 're': '', 'remarks': 0},</v>
      </c>
    </row>
    <row r="8" spans="1:1">
      <c r="A8" s="21" t="str">
        <f ca="1">"{"&amp;_xlfn.TEXTJOIN(", ",TRUE,calcu2!A8:AZ8)&amp;"},"</f>
        <v>{'index': 6, 'display_name': '建物:', 'data_type': 'str', 'label_name': 'label_6_', 'line_edit_name': 'lineEdit_6_', 'is_last': 0, 'line_edit_obj': '', 'ime_mode': 'jp', 'pn_auto_input': 'null', 'text_conversion': 'han-ans', 'label_obj': '', 'frame_a_obj': '', 'frame_a_name': 'frame_2_', 'frame_b_obj': '', 'frame_b_name': 'frame__6__', 'layout_a_name': 'horizontalLayout_2_', 'layout_a_obj': '', 'layout_b_name': 'horizontalLayout__6__', 'layout_b_obj': '', 'info': '建物: ', 'is_rept': False, 'is_show': True, 'list_item': 0, 'name': '建物', 'replace_keys': 0, 'replace_values': 0, 'is_b_line_show': 0, 'length': 0, 'min_max': 0, 're': '', 'remarks': 0},</v>
      </c>
    </row>
    <row r="9" spans="1:1">
      <c r="A9" s="21" t="str">
        <f ca="1">"{"&amp;_xlfn.TEXTJOIN(", ",TRUE,calcu2!A9:AZ9)&amp;"},"</f>
        <v>{'index': 7, 'display_name': '氏名かな:', 'data_type': 'str', 'label_name': 'label_7_', 'line_edit_name': 'lineEdit_7_', 'is_last': 0, 'line_edit_obj': '', 'ime_mode': 'jp', 'pn_auto_input': 'null', 'text_conversion': '', 'label_obj': '', 'frame_a_obj': '', 'frame_a_name': 'frame_2_', 'frame_b_obj': '', 'frame_b_name': 'frame__7__', 'layout_a_name': 'horizontalLayout_3_', 'layout_a_obj': '', 'layout_b_name': 'horizontalLayout__7__', 'layout_b_obj': '', 'info': '氏名かな: ひらがな スペースあり', 'is_rept': False, 'is_show': True, 'list_item': 0, 'name': '氏名かな', 'replace_keys': 0, 'replace_values': 0, 'is_b_line_show': True, 'length': 0, 'min_max': 0, 're': '', 'remarks': 0},</v>
      </c>
    </row>
    <row r="10" spans="1:1">
      <c r="A10" s="21" t="str">
        <f ca="1">"{"&amp;_xlfn.TEXTJOIN(", ",TRUE,calcu2!A10:AZ10)&amp;"},"</f>
        <v>{'index': 8, 'display_name': '氏名:', 'data_type': 'str', 'label_name': 'label_8_', 'line_edit_name': 'lineEdit_8_', 'is_last': 0, 'line_edit_obj': '', 'ime_mode': 'jp', 'pn_auto_input': 'null', 'text_conversion': '', 'label_obj': '', 'frame_a_obj': '', 'frame_a_name': 'frame_2_', 'frame_b_obj': '', 'frame_b_name': 'frame__8__', 'layout_a_name': 'horizontalLayout_3_', 'layout_a_obj': '', 'layout_b_name': 'horizontalLayout__8__', 'layout_b_obj': '', 'info': '氏名: スペースあり', 'is_rept': False, 'is_show': True, 'list_item': 0, 'name': '氏名', 'replace_keys': 0, 'replace_values': 0, 'is_b_line_show': 0, 'length': 0, 'min_max': 0, 're': '', 'remarks': 0},</v>
      </c>
    </row>
    <row r="11" spans="1:1">
      <c r="A11" s="21" t="str">
        <f ca="1">"{"&amp;_xlfn.TEXTJOIN(", ",TRUE,calcu2!A11:AZ11)&amp;"},"</f>
        <v>{'index': 9, 'display_name': '電話番号:', 'data_type': 'hankaku-eisu-kuromaru_lenrange', 'label_name': 'label_9_', 'line_edit_name': 'lineEdit_9_', 'is_last': 0, 'line_edit_obj': '', 'ime_mode': 'en', 'pn_auto_input': 'null', 'text_conversion': 'han', 'label_obj': '', 'frame_a_obj': '', 'frame_a_name': 'frame_3_', 'frame_b_obj': '', 'frame_b_name': 'frame__9__', 'layout_a_name': 'horizontalLayout_3_', 'layout_a_obj': '', 'layout_b_name': 'horizontalLayout__9__', 'layout_b_obj': '', 'info': '電話番号: ハイフンなし 桁数:10～11', 'is_rept': False, 'is_show': True, 'list_item': 0, 'name': '電話番号', 'replace_keys': 0, 'replace_values': 0, 'is_b_line_show': True, 'length': [10, 11], 'min_max': 0, 're': '', 'remarks': 0},</v>
      </c>
    </row>
    <row r="12" spans="1:1">
      <c r="A12" s="21" t="str">
        <f ca="1">"{"&amp;_xlfn.TEXTJOIN(", ",TRUE,calcu2!A12:AZ12)&amp;"},"</f>
        <v>{'index': 10, 'display_name': '防災カルタ:', 'data_type': 'hankaku-eisu-kuromaru', 'label_name': 'label_10_', 'line_edit_name': 'lineEdit_10_', 'is_last': 0, 'line_edit_obj': '', 'ime_mode': 'en', 'pn_auto_input': 'null', 'text_conversion': 'han', 'label_obj': '', 'frame_a_obj': '', 'frame_a_name': 'frame_3_', 'frame_b_obj': '', 'frame_b_name': 'frame__10__', 'layout_a_name': 'horizontalLayout_3_', 'layout_a_obj': '', 'layout_b_name': 'horizontalLayout__10__', 'layout_b_obj': '', 'info': '防災カルタ: 申し込む=1 不要=2', 'is_rept': False, 'is_show': True, 'list_item': 0, 'name': '防災カルタ', 'replace_keys': 0, 'replace_values': 0, 'is_b_line_show': 0, 'length': 0, 'min_max': 0, 're': '', 'remarks': 0},</v>
      </c>
    </row>
    <row r="13" spans="1:1">
      <c r="A13" s="21" t="str">
        <f ca="1">"{"&amp;_xlfn.TEXTJOIN(", ",TRUE,calcu2!A13:AZ13)&amp;"},"</f>
        <v>{'index': 11, 'display_name': '404:薬剤式トイレ:', 'data_type': 'hankaku-eisu-kuromaru', 'label_name': 'label_11_', 'line_edit_name': 'lineEdit_11_', 'is_last': 0, 'line_edit_obj': '', 'ime_mode': 'en', 'pn_auto_input': 'null', 'text_conversion': 'han', 'label_obj': '', 'frame_a_obj': '', 'frame_a_name': 'frame_3_', 'frame_b_obj': '', 'frame_b_name': 'frame__11__', 'layout_a_name': 'horizontalLayout_4_', 'layout_a_obj': '', 'layout_b_name': 'horizontalLayout__11__', 'layout_b_obj': '', 'info': '404:薬剤式トイレ: 数量を入力（薬剤式トイレ）', 'is_rept': False, 'is_show': True, 'list_item': 0, 'name': '404:薬剤式トイレ', 'replace_keys': 0, 'replace_values': 0, 'is_b_line_show': True, 'length': 0, 'min_max': 0, 're': '', 'remarks': 0},</v>
      </c>
    </row>
    <row r="14" spans="1:1">
      <c r="A14" s="21" t="str">
        <f ca="1">"{"&amp;_xlfn.TEXTJOIN(", ",TRUE,calcu2!A14:AZ14)&amp;"},"</f>
        <v>{'index': 12, 'display_name': '225:備蓄ランタン:', 'data_type': 'hankaku-eisu-kuromaru', 'label_name': 'label_12_', 'line_edit_name': 'lineEdit_12_', 'is_last': 0, 'line_edit_obj': '', 'ime_mode': 'en', 'pn_auto_input': 'null', 'text_conversion': 'han', 'label_obj': '', 'frame_a_obj': '', 'frame_a_name': 'frame_4_', 'frame_b_obj': '', 'frame_b_name': 'frame__12__', 'layout_a_name': 'horizontalLayout_4_', 'layout_a_obj': '', 'layout_b_name': 'horizontalLayout__12__', 'layout_b_obj': '', 'info': '225:備蓄ランタン: 数量を入力（備蓄ランタン）', 'is_rept': False, 'is_show': True, 'list_item': 0, 'name': '225:備蓄ランタン', 'replace_keys': 0, 'replace_values': 0, 'is_b_line_show': 0, 'length': 0, 'min_max': 0, 're': '', 'remarks': 0},</v>
      </c>
    </row>
    <row r="15" spans="1:1">
      <c r="A15" s="21" t="str">
        <f ca="1">"{"&amp;_xlfn.TEXTJOIN(", ",TRUE,calcu2!A15:AZ15)&amp;"},"</f>
        <v>{'index': 13, 'display_name': '512:彩り主食:', 'data_type': 'hankaku-eisu-kuromaru', 'label_name': 'label_13_', 'line_edit_name': 'lineEdit_13_', 'is_last': 0, 'line_edit_obj': '', 'ime_mode': 'en', 'pn_auto_input': 'null', 'text_conversion': 'han', 'label_obj': '', 'frame_a_obj': '', 'frame_a_name': 'frame_4_', 'frame_b_obj': '', 'frame_b_name': 'frame__13__', 'layout_a_name': 'horizontalLayout_4_', 'layout_a_obj': '', 'layout_b_name': 'horizontalLayout__13__', 'layout_b_obj': '', 'info': '512:彩り主食: 数量を入力（彩り主食）', 'is_rept': False, 'is_show': True, 'list_item': 0, 'name': '512:彩り主食', 'replace_keys': 0, 'replace_values': 0, 'is_b_line_show': 0, 'length': 0, 'min_max': 0, 're': '', 'remarks': 0},</v>
      </c>
    </row>
    <row r="16" spans="1:1">
      <c r="A16" s="21" t="str">
        <f ca="1">"{"&amp;_xlfn.TEXTJOIN(", ",TRUE,calcu2!A16:AZ16)&amp;"},"</f>
        <v>{'index': 14, 'display_name': '411&amp;415:全身きれい:', 'data_type': 'hankaku-eisu-kuromaru', 'label_name': 'label_14_', 'line_edit_name': 'lineEdit_14_', 'is_last': 1, 'line_edit_obj': '', 'ime_mode': 'en', 'pn_auto_input': 'null', 'text_conversion': 'han', 'label_obj': '', 'frame_a_obj': '', 'frame_a_name': 'frame_4_', 'frame_b_obj': '', 'frame_b_name': 'frame__14__', 'layout_a_name': 'horizontalLayout_4_', 'layout_a_obj': '', 'layout_b_name': 'horizontalLayout__14__', 'layout_b_obj': '', 'info': '411&amp;415:全身きれい: 数量を入力（全身きれい・歯みがき）', 'is_rept': False, 'is_show': True, 'list_item': 0, 'name': '411&amp;415:全身きれい', 'replace_keys': 0, 'replace_values': 0, 'is_b_line_show': 0, 'length': 0, 'min_max': 0, 're': '', 'remarks': 0},</v>
      </c>
    </row>
    <row r="17" spans="1:1">
      <c r="A17" s="21" t="str">
        <f ca="1">"{"&amp;_xlfn.TEXTJOIN(", ",TRUE,calcu2!A17:AZ17)&amp;"},"</f>
        <v>{},</v>
      </c>
    </row>
    <row r="18" spans="1:1">
      <c r="A18" s="21" t="str">
        <f ca="1">"{"&amp;_xlfn.TEXTJOIN(", ",TRUE,calcu2!A18:AZ18)&amp;"},"</f>
        <v>{},</v>
      </c>
    </row>
    <row r="19" spans="1:1">
      <c r="A19" s="21" t="str">
        <f ca="1">"{"&amp;_xlfn.TEXTJOIN(", ",TRUE,calcu2!A19:AZ19)&amp;"},"</f>
        <v>{},</v>
      </c>
    </row>
    <row r="20" spans="1:1">
      <c r="A20" s="21" t="str">
        <f ca="1">"{"&amp;_xlfn.TEXTJOIN(", ",TRUE,calcu2!A20:AZ20)&amp;"},"</f>
        <v>{},</v>
      </c>
    </row>
    <row r="21" spans="1:1">
      <c r="A21" s="21" t="str">
        <f ca="1">"{"&amp;_xlfn.TEXTJOIN(", ",TRUE,calcu2!A21:AZ21)&amp;"},"</f>
        <v>{},</v>
      </c>
    </row>
    <row r="22" spans="1:1">
      <c r="A22" s="21" t="str">
        <f ca="1">"{"&amp;_xlfn.TEXTJOIN(", ",TRUE,calcu2!A22:AZ22)&amp;"},"</f>
        <v>{},</v>
      </c>
    </row>
    <row r="23" spans="1:1">
      <c r="A23" s="21" t="str">
        <f ca="1">"{"&amp;_xlfn.TEXTJOIN(", ",TRUE,calcu2!A23:AZ23)&amp;"},"</f>
        <v>{},</v>
      </c>
    </row>
    <row r="24" spans="1:1">
      <c r="A24" s="21" t="str">
        <f ca="1">"{"&amp;_xlfn.TEXTJOIN(", ",TRUE,calcu2!A24:AZ24)&amp;"},"</f>
        <v>{},</v>
      </c>
    </row>
    <row r="25" spans="1:1">
      <c r="A25" s="21" t="str">
        <f ca="1">"{"&amp;_xlfn.TEXTJOIN(", ",TRUE,calcu2!A25:AZ25)&amp;"},"</f>
        <v>{},</v>
      </c>
    </row>
    <row r="26" spans="1:1">
      <c r="A26" s="21" t="str">
        <f ca="1">"{"&amp;_xlfn.TEXTJOIN(", ",TRUE,calcu2!A26:AZ26)&amp;"},"</f>
        <v>{},</v>
      </c>
    </row>
    <row r="27" spans="1:1">
      <c r="A27" s="21" t="str">
        <f ca="1">"{"&amp;_xlfn.TEXTJOIN(", ",TRUE,calcu2!A27:AZ27)&amp;"},"</f>
        <v>{},</v>
      </c>
    </row>
    <row r="28" spans="1:1">
      <c r="A28" s="21" t="str">
        <f ca="1">"{"&amp;_xlfn.TEXTJOIN(", ",TRUE,calcu2!A28:AZ28)&amp;"},"</f>
        <v>{},</v>
      </c>
    </row>
    <row r="29" spans="1:1">
      <c r="A29" s="21" t="str">
        <f ca="1">"{"&amp;_xlfn.TEXTJOIN(", ",TRUE,calcu2!A29:AZ29)&amp;"},"</f>
        <v>{},</v>
      </c>
    </row>
    <row r="30" spans="1:1">
      <c r="A30" s="21" t="str">
        <f ca="1">"{"&amp;_xlfn.TEXTJOIN(", ",TRUE,calcu2!A30:AZ30)&amp;"},"</f>
        <v>{},</v>
      </c>
    </row>
    <row r="31" spans="1:1">
      <c r="A31" s="21" t="str">
        <f ca="1">"{"&amp;_xlfn.TEXTJOIN(", ",TRUE,calcu2!A31:AZ31)&amp;"},"</f>
        <v>{},</v>
      </c>
    </row>
    <row r="32" spans="1:1">
      <c r="A32" s="21" t="str">
        <f ca="1">"{"&amp;_xlfn.TEXTJOIN(", ",TRUE,calcu2!A32:AZ32)&amp;"},"</f>
        <v>{},</v>
      </c>
    </row>
    <row r="33" spans="1:1">
      <c r="A33" s="21" t="str">
        <f ca="1">"{"&amp;_xlfn.TEXTJOIN(", ",TRUE,calcu2!A33:AZ33)&amp;"},"</f>
        <v>{},</v>
      </c>
    </row>
    <row r="34" spans="1:1">
      <c r="A34" s="21" t="str">
        <f ca="1">"{"&amp;_xlfn.TEXTJOIN(", ",TRUE,calcu2!A34:AZ34)&amp;"},"</f>
        <v>{},</v>
      </c>
    </row>
    <row r="35" spans="1:1">
      <c r="A35" s="21" t="str">
        <f ca="1">"{"&amp;_xlfn.TEXTJOIN(", ",TRUE,calcu2!A35:AZ35)&amp;"},"</f>
        <v>{},</v>
      </c>
    </row>
    <row r="36" spans="1:1">
      <c r="A36" s="21" t="str">
        <f ca="1">"{"&amp;_xlfn.TEXTJOIN(", ",TRUE,calcu2!A36:AZ36)&amp;"},"</f>
        <v>{},</v>
      </c>
    </row>
    <row r="37" spans="1:1">
      <c r="A37" s="21" t="str">
        <f ca="1">"{"&amp;_xlfn.TEXTJOIN(", ",TRUE,calcu2!A37:AZ37)&amp;"},"</f>
        <v>{},</v>
      </c>
    </row>
    <row r="38" spans="1:1">
      <c r="A38" s="21" t="str">
        <f ca="1">"{"&amp;_xlfn.TEXTJOIN(", ",TRUE,calcu2!A38:AZ38)&amp;"},"</f>
        <v>{},</v>
      </c>
    </row>
    <row r="39" spans="1:1">
      <c r="A39" s="21" t="str">
        <f ca="1">"{"&amp;_xlfn.TEXTJOIN(", ",TRUE,calcu2!A39:AZ39)&amp;"},"</f>
        <v>{},</v>
      </c>
    </row>
    <row r="40" spans="1:1">
      <c r="A40" s="21" t="str">
        <f ca="1">"{"&amp;_xlfn.TEXTJOIN(", ",TRUE,calcu2!A40:AZ40)&amp;"},"</f>
        <v>{},</v>
      </c>
    </row>
    <row r="41" spans="1:1">
      <c r="A41" s="21" t="str">
        <f ca="1">"{"&amp;_xlfn.TEXTJOIN(", ",TRUE,calcu2!A41:AZ41)&amp;"},"</f>
        <v>{},</v>
      </c>
    </row>
    <row r="42" spans="1:1">
      <c r="A42" s="21" t="str">
        <f ca="1">"{"&amp;_xlfn.TEXTJOIN(", ",TRUE,calcu2!A42:AZ42)&amp;"},"</f>
        <v>{},</v>
      </c>
    </row>
    <row r="43" spans="1:1">
      <c r="A43" s="21" t="str">
        <f ca="1">"{"&amp;_xlfn.TEXTJOIN(", ",TRUE,calcu2!A43:AZ43)&amp;"},"</f>
        <v>{},</v>
      </c>
    </row>
    <row r="44" spans="1:1">
      <c r="A44" s="21" t="str">
        <f ca="1">"{"&amp;_xlfn.TEXTJOIN(", ",TRUE,calcu2!A44:AZ44)&amp;"},"</f>
        <v>{},</v>
      </c>
    </row>
    <row r="45" spans="1:1">
      <c r="A45" s="21" t="str">
        <f ca="1">"{"&amp;_xlfn.TEXTJOIN(", ",TRUE,calcu2!A45:AZ45)&amp;"},"</f>
        <v>{},</v>
      </c>
    </row>
    <row r="46" spans="1:1">
      <c r="A46" s="21" t="str">
        <f ca="1">"{"&amp;_xlfn.TEXTJOIN(", ",TRUE,calcu2!A46:AZ46)&amp;"},"</f>
        <v>{},</v>
      </c>
    </row>
    <row r="47" spans="1:1">
      <c r="A47" s="21" t="str">
        <f ca="1">"{"&amp;_xlfn.TEXTJOIN(", ",TRUE,calcu2!A47:AZ47)&amp;"},"</f>
        <v>{},</v>
      </c>
    </row>
    <row r="48" spans="1:1">
      <c r="A48" s="21" t="str">
        <f ca="1">"{"&amp;_xlfn.TEXTJOIN(", ",TRUE,calcu2!A48:AZ48)&amp;"},"</f>
        <v>{},</v>
      </c>
    </row>
    <row r="49" spans="1:1">
      <c r="A49" s="21" t="str">
        <f ca="1">"{"&amp;_xlfn.TEXTJOIN(", ",TRUE,calcu2!A49:AZ49)&amp;"},"</f>
        <v>{},</v>
      </c>
    </row>
    <row r="50" spans="1:1">
      <c r="A50" s="21" t="str">
        <f ca="1">"{"&amp;_xlfn.TEXTJOIN(", ",TRUE,calcu2!A50:AZ50)&amp;"},"</f>
        <v>{},</v>
      </c>
    </row>
    <row r="51" spans="1:1">
      <c r="A51" s="21" t="str">
        <f ca="1">"{"&amp;_xlfn.TEXTJOIN(", ",TRUE,calcu2!A51:AZ51)&amp;"},"</f>
        <v>{},</v>
      </c>
    </row>
    <row r="52" spans="1:1">
      <c r="A52" s="21" t="str">
        <f ca="1">"{"&amp;_xlfn.TEXTJOIN(", ",TRUE,calcu2!A52:AZ52)&amp;"},"</f>
        <v>{},</v>
      </c>
    </row>
    <row r="53" spans="1:1">
      <c r="A53" s="21" t="str">
        <f ca="1">"{"&amp;_xlfn.TEXTJOIN(", ",TRUE,calcu2!A53:AZ53)&amp;"},"</f>
        <v>{},</v>
      </c>
    </row>
    <row r="54" spans="1:1">
      <c r="A54" s="21" t="str">
        <f ca="1">"{"&amp;_xlfn.TEXTJOIN(", ",TRUE,calcu2!A54:AZ54)&amp;"},"</f>
        <v>{},</v>
      </c>
    </row>
    <row r="55" spans="1:1">
      <c r="A55" s="21" t="str">
        <f ca="1">"{"&amp;_xlfn.TEXTJOIN(", ",TRUE,calcu2!A55:AZ55)&amp;"},"</f>
        <v>{},</v>
      </c>
    </row>
    <row r="56" spans="1:1">
      <c r="A56" s="21" t="str">
        <f ca="1">"{"&amp;_xlfn.TEXTJOIN(", ",TRUE,calcu2!A56:AZ56)&amp;"},"</f>
        <v>{},</v>
      </c>
    </row>
    <row r="57" spans="1:1">
      <c r="A57" s="21" t="str">
        <f ca="1">"{"&amp;_xlfn.TEXTJOIN(", ",TRUE,calcu2!A57:AZ57)&amp;"},"</f>
        <v>{},</v>
      </c>
    </row>
    <row r="58" spans="1:1">
      <c r="A58" s="21" t="str">
        <f ca="1">"{"&amp;_xlfn.TEXTJOIN(", ",TRUE,calcu2!A58:AZ58)&amp;"},"</f>
        <v>{},</v>
      </c>
    </row>
    <row r="59" spans="1:1">
      <c r="A59" s="21" t="str">
        <f ca="1">"{"&amp;_xlfn.TEXTJOIN(", ",TRUE,calcu2!A59:AZ59)&amp;"},"</f>
        <v>{},</v>
      </c>
    </row>
    <row r="60" spans="1:1">
      <c r="A60" s="21" t="str">
        <f ca="1">"{"&amp;_xlfn.TEXTJOIN(", ",TRUE,calcu2!A60:AZ60)&amp;"},"</f>
        <v>{},</v>
      </c>
    </row>
    <row r="61" spans="1:1">
      <c r="A61" s="21" t="str">
        <f ca="1">"{"&amp;_xlfn.TEXTJOIN(", ",TRUE,calcu2!A61:AZ61)&amp;"},"</f>
        <v>{},</v>
      </c>
    </row>
    <row r="62" spans="1:1">
      <c r="A62" s="21" t="str">
        <f ca="1">"{"&amp;_xlfn.TEXTJOIN(", ",TRUE,calcu2!A62:AZ62)&amp;"},"</f>
        <v>{},</v>
      </c>
    </row>
    <row r="63" spans="1:1">
      <c r="A63" s="21" t="str">
        <f ca="1">"{"&amp;_xlfn.TEXTJOIN(", ",TRUE,calcu2!A63:AZ63)&amp;"},"</f>
        <v>{},</v>
      </c>
    </row>
    <row r="64" spans="1:1">
      <c r="A64" s="21" t="str">
        <f ca="1">"{"&amp;_xlfn.TEXTJOIN(", ",TRUE,calcu2!A64:AZ64)&amp;"},"</f>
        <v>{},</v>
      </c>
    </row>
    <row r="65" spans="1:1">
      <c r="A65" s="21" t="str">
        <f ca="1">"{"&amp;_xlfn.TEXTJOIN(", ",TRUE,calcu2!A65:AZ65)&amp;"},"</f>
        <v>{},</v>
      </c>
    </row>
    <row r="66" spans="1:1">
      <c r="A66" s="21" t="str">
        <f ca="1">"{"&amp;_xlfn.TEXTJOIN(", ",TRUE,calcu2!A66:AZ66)&amp;"},"</f>
        <v>{},</v>
      </c>
    </row>
    <row r="67" spans="1:1">
      <c r="A67" s="21" t="str">
        <f ca="1">"{"&amp;_xlfn.TEXTJOIN(", ",TRUE,calcu2!A67:AZ67)&amp;"},"</f>
        <v>{},</v>
      </c>
    </row>
    <row r="68" spans="1:1">
      <c r="A68" s="21" t="str">
        <f ca="1">"{"&amp;_xlfn.TEXTJOIN(", ",TRUE,calcu2!A68:AZ68)&amp;"},"</f>
        <v>{},</v>
      </c>
    </row>
    <row r="69" spans="1:1">
      <c r="A69" s="21" t="str">
        <f ca="1">"{"&amp;_xlfn.TEXTJOIN(", ",TRUE,calcu2!A69:AZ69)&amp;"},"</f>
        <v>{},</v>
      </c>
    </row>
    <row r="70" spans="1:1">
      <c r="A70" s="21" t="str">
        <f ca="1">"{"&amp;_xlfn.TEXTJOIN(", ",TRUE,calcu2!A70:AZ70)&amp;"},"</f>
        <v>{},</v>
      </c>
    </row>
    <row r="71" spans="1:1">
      <c r="A71" s="21" t="str">
        <f ca="1">"{"&amp;_xlfn.TEXTJOIN(", ",TRUE,calcu2!A71:AZ71)&amp;"},"</f>
        <v>{},</v>
      </c>
    </row>
    <row r="72" spans="1:1">
      <c r="A72" s="21" t="str">
        <f ca="1">"{"&amp;_xlfn.TEXTJOIN(", ",TRUE,calcu2!A72:AZ72)&amp;"},"</f>
        <v>{},</v>
      </c>
    </row>
    <row r="73" spans="1:1">
      <c r="A73" s="21" t="str">
        <f ca="1">"{"&amp;_xlfn.TEXTJOIN(", ",TRUE,calcu2!A73:AZ73)&amp;"},"</f>
        <v>{},</v>
      </c>
    </row>
    <row r="74" spans="1:1">
      <c r="A74" s="21" t="str">
        <f ca="1">"{"&amp;_xlfn.TEXTJOIN(", ",TRUE,calcu2!A74:AZ74)&amp;"},"</f>
        <v>{},</v>
      </c>
    </row>
    <row r="75" spans="1:1">
      <c r="A75" s="21" t="str">
        <f ca="1">"{"&amp;_xlfn.TEXTJOIN(", ",TRUE,calcu2!A75:AZ75)&amp;"},"</f>
        <v>{},</v>
      </c>
    </row>
    <row r="76" spans="1:1">
      <c r="A76" s="21" t="str">
        <f ca="1">"{"&amp;_xlfn.TEXTJOIN(", ",TRUE,calcu2!A76:AZ76)&amp;"},"</f>
        <v>{},</v>
      </c>
    </row>
    <row r="77" spans="1:1">
      <c r="A77" s="21" t="str">
        <f ca="1">"{"&amp;_xlfn.TEXTJOIN(", ",TRUE,calcu2!A77:AZ77)&amp;"},"</f>
        <v>{},</v>
      </c>
    </row>
    <row r="78" spans="1:1">
      <c r="A78" s="21" t="str">
        <f ca="1">"{"&amp;_xlfn.TEXTJOIN(", ",TRUE,calcu2!A78:AZ78)&amp;"},"</f>
        <v>{},</v>
      </c>
    </row>
    <row r="79" spans="1:1">
      <c r="A79" s="21" t="str">
        <f ca="1">"{"&amp;_xlfn.TEXTJOIN(", ",TRUE,calcu2!A79:AZ79)&amp;"},"</f>
        <v>{},</v>
      </c>
    </row>
    <row r="80" spans="1:1">
      <c r="A80" s="21" t="str">
        <f ca="1">"{"&amp;_xlfn.TEXTJOIN(", ",TRUE,calcu2!A80:AZ80)&amp;"},"</f>
        <v>{},</v>
      </c>
    </row>
    <row r="81" spans="1:1">
      <c r="A81" s="21" t="str">
        <f ca="1">"{"&amp;_xlfn.TEXTJOIN(", ",TRUE,calcu2!A81:AZ81)&amp;"},"</f>
        <v>{},</v>
      </c>
    </row>
    <row r="82" spans="1:1">
      <c r="A82" s="21" t="str">
        <f ca="1">"{"&amp;_xlfn.TEXTJOIN(", ",TRUE,calcu2!A82:AZ82)&amp;"},"</f>
        <v>{},</v>
      </c>
    </row>
    <row r="83" spans="1:1">
      <c r="A83" s="21" t="str">
        <f ca="1">"{"&amp;_xlfn.TEXTJOIN(", ",TRUE,calcu2!A83:AZ83)&amp;"},"</f>
        <v>{},</v>
      </c>
    </row>
    <row r="84" spans="1:1">
      <c r="A84" s="21" t="str">
        <f ca="1">"{"&amp;_xlfn.TEXTJOIN(", ",TRUE,calcu2!A84:AZ84)&amp;"},"</f>
        <v>{},</v>
      </c>
    </row>
    <row r="85" spans="1:1">
      <c r="A85" s="21" t="str">
        <f ca="1">"{"&amp;_xlfn.TEXTJOIN(", ",TRUE,calcu2!A85:AZ85)&amp;"},"</f>
        <v>{},</v>
      </c>
    </row>
    <row r="86" spans="1:1">
      <c r="A86" s="21" t="str">
        <f ca="1">"{"&amp;_xlfn.TEXTJOIN(", ",TRUE,calcu2!A86:AZ86)&amp;"},"</f>
        <v>{},</v>
      </c>
    </row>
    <row r="87" spans="1:1">
      <c r="A87" s="21" t="str">
        <f ca="1">"{"&amp;_xlfn.TEXTJOIN(", ",TRUE,calcu2!A87:AZ87)&amp;"},"</f>
        <v>{},</v>
      </c>
    </row>
    <row r="88" spans="1:1">
      <c r="A88" s="21" t="str">
        <f ca="1">"{"&amp;_xlfn.TEXTJOIN(", ",TRUE,calcu2!A88:AZ88)&amp;"},"</f>
        <v>{},</v>
      </c>
    </row>
    <row r="89" spans="1:1">
      <c r="A89" s="21" t="str">
        <f ca="1">"{"&amp;_xlfn.TEXTJOIN(", ",TRUE,calcu2!A89:AZ89)&amp;"},"</f>
        <v>{},</v>
      </c>
    </row>
    <row r="90" spans="1:1">
      <c r="A90" s="21" t="str">
        <f ca="1">"{"&amp;_xlfn.TEXTJOIN(", ",TRUE,calcu2!A90:AZ90)&amp;"},"</f>
        <v>{},</v>
      </c>
    </row>
    <row r="91" spans="1:1">
      <c r="A91" s="21" t="str">
        <f ca="1">"{"&amp;_xlfn.TEXTJOIN(", ",TRUE,calcu2!A91:AZ91)&amp;"},"</f>
        <v>{},</v>
      </c>
    </row>
    <row r="92" spans="1:1">
      <c r="A92" s="21" t="str">
        <f ca="1">"{"&amp;_xlfn.TEXTJOIN(", ",TRUE,calcu2!A92:AZ92)&amp;"},"</f>
        <v>{},</v>
      </c>
    </row>
    <row r="93" spans="1:1">
      <c r="A93" s="21" t="str">
        <f ca="1">"{"&amp;_xlfn.TEXTJOIN(", ",TRUE,calcu2!A93:AZ93)&amp;"},"</f>
        <v>{},</v>
      </c>
    </row>
    <row r="94" spans="1:1">
      <c r="A94" s="21" t="str">
        <f ca="1">"{"&amp;_xlfn.TEXTJOIN(", ",TRUE,calcu2!A94:AZ94)&amp;"},"</f>
        <v>{},</v>
      </c>
    </row>
    <row r="95" spans="1:1">
      <c r="A95" s="21" t="str">
        <f ca="1">"{"&amp;_xlfn.TEXTJOIN(", ",TRUE,calcu2!A95:AZ95)&amp;"},"</f>
        <v>{},</v>
      </c>
    </row>
    <row r="96" spans="1:1">
      <c r="A96" s="21" t="str">
        <f ca="1">"{"&amp;_xlfn.TEXTJOIN(", ",TRUE,calcu2!A96:AZ96)&amp;"},"</f>
        <v>{},</v>
      </c>
    </row>
    <row r="97" spans="1:1">
      <c r="A97" s="21" t="str">
        <f ca="1">"{"&amp;_xlfn.TEXTJOIN(", ",TRUE,calcu2!A97:AZ97)&amp;"},"</f>
        <v>{},</v>
      </c>
    </row>
    <row r="98" spans="1:1">
      <c r="A98" s="21" t="str">
        <f ca="1">"{"&amp;_xlfn.TEXTJOIN(", ",TRUE,calcu2!A98:AZ98)&amp;"},"</f>
        <v>{},</v>
      </c>
    </row>
    <row r="99" spans="1:1">
      <c r="A99" s="21" t="str">
        <f ca="1">"{"&amp;_xlfn.TEXTJOIN(", ",TRUE,calcu2!A99:AZ99)&amp;"},"</f>
        <v>{},</v>
      </c>
    </row>
    <row r="100" spans="1:1">
      <c r="A100" s="21" t="str">
        <f ca="1">"{"&amp;_xlfn.TEXTJOIN(", ",TRUE,calcu2!A100:AZ100)&amp;"},"</f>
        <v>{},</v>
      </c>
    </row>
    <row r="101" spans="1:1">
      <c r="A101" s="21" t="str">
        <f ca="1">"{"&amp;_xlfn.TEXTJOIN(", ",TRUE,calcu2!A101:AZ101)&amp;"},"</f>
        <v>{},</v>
      </c>
    </row>
    <row r="102" spans="1:1">
      <c r="A102" s="21" t="str">
        <f ca="1">"{"&amp;_xlfn.TEXTJOIN(", ",TRUE,calcu2!A102:AZ102)&amp;"},"</f>
        <v>{},</v>
      </c>
    </row>
    <row r="103" spans="1:1">
      <c r="A103" s="21" t="str">
        <f ca="1">"{"&amp;_xlfn.TEXTJOIN(", ",TRUE,calcu2!A103:AZ103)&amp;"},"</f>
        <v>{},</v>
      </c>
    </row>
    <row r="104" spans="1:1">
      <c r="A104" s="21" t="str">
        <f ca="1">"{"&amp;_xlfn.TEXTJOIN(", ",TRUE,calcu2!A104:AZ104)&amp;"},"</f>
        <v>{},</v>
      </c>
    </row>
    <row r="105" spans="1:1">
      <c r="A105" s="21" t="str">
        <f ca="1">"{"&amp;_xlfn.TEXTJOIN(", ",TRUE,calcu2!A105:AZ105)&amp;"},"</f>
        <v>{},</v>
      </c>
    </row>
    <row r="106" spans="1:1">
      <c r="A106" s="21" t="str">
        <f ca="1">"{"&amp;_xlfn.TEXTJOIN(", ",TRUE,calcu2!A106:AZ106)&amp;"},"</f>
        <v>{},</v>
      </c>
    </row>
    <row r="107" spans="1:1">
      <c r="A107" s="21" t="str">
        <f ca="1">"{"&amp;_xlfn.TEXTJOIN(", ",TRUE,calcu2!A107:AZ107)&amp;"},"</f>
        <v>{},</v>
      </c>
    </row>
    <row r="108" spans="1:1">
      <c r="A108" s="21" t="str">
        <f ca="1">"{"&amp;_xlfn.TEXTJOIN(", ",TRUE,calcu2!A108:AZ108)&amp;"},"</f>
        <v>{},</v>
      </c>
    </row>
    <row r="109" spans="1:1">
      <c r="A109" s="21" t="str">
        <f ca="1">"{"&amp;_xlfn.TEXTJOIN(", ",TRUE,calcu2!A109:AZ109)&amp;"},"</f>
        <v>{},</v>
      </c>
    </row>
    <row r="110" spans="1:1">
      <c r="A110" s="21" t="str">
        <f ca="1">"{"&amp;_xlfn.TEXTJOIN(", ",TRUE,calcu2!A110:AZ110)&amp;"},"</f>
        <v>{},</v>
      </c>
    </row>
    <row r="111" spans="1:1">
      <c r="A111" s="21" t="str">
        <f ca="1">"{"&amp;_xlfn.TEXTJOIN(", ",TRUE,calcu2!A111:AZ111)&amp;"},"</f>
        <v>{},</v>
      </c>
    </row>
    <row r="112" spans="1:1">
      <c r="A112" s="21" t="str">
        <f ca="1">"{"&amp;_xlfn.TEXTJOIN(", ",TRUE,calcu2!A112:AZ112)&amp;"},"</f>
        <v>{},</v>
      </c>
    </row>
    <row r="113" spans="1:1">
      <c r="A113" s="21" t="str">
        <f ca="1">"{"&amp;_xlfn.TEXTJOIN(", ",TRUE,calcu2!A113:AZ113)&amp;"},"</f>
        <v>{},</v>
      </c>
    </row>
    <row r="114" spans="1:1">
      <c r="A114" s="21" t="str">
        <f ca="1">"{"&amp;_xlfn.TEXTJOIN(", ",TRUE,calcu2!A114:AZ114)&amp;"},"</f>
        <v>{},</v>
      </c>
    </row>
    <row r="115" spans="1:1">
      <c r="A115" s="21" t="str">
        <f ca="1">"{"&amp;_xlfn.TEXTJOIN(", ",TRUE,calcu2!A115:AZ115)&amp;"},"</f>
        <v>{},</v>
      </c>
    </row>
    <row r="116" spans="1:1">
      <c r="A116" s="21" t="str">
        <f ca="1">"{"&amp;_xlfn.TEXTJOIN(", ",TRUE,calcu2!A116:AZ116)&amp;"},"</f>
        <v>{},</v>
      </c>
    </row>
    <row r="117" spans="1:1">
      <c r="A117" s="21" t="str">
        <f ca="1">"{"&amp;_xlfn.TEXTJOIN(", ",TRUE,calcu2!A117:AZ117)&amp;"},"</f>
        <v>{},</v>
      </c>
    </row>
    <row r="118" spans="1:1">
      <c r="A118" s="21" t="str">
        <f ca="1">"{"&amp;_xlfn.TEXTJOIN(", ",TRUE,calcu2!A118:AZ118)&amp;"},"</f>
        <v>{},</v>
      </c>
    </row>
    <row r="119" spans="1:1">
      <c r="A119" s="21" t="str">
        <f ca="1">"{"&amp;_xlfn.TEXTJOIN(", ",TRUE,calcu2!A119:AZ119)&amp;"},"</f>
        <v>{},</v>
      </c>
    </row>
    <row r="120" spans="1:1">
      <c r="A120" s="21" t="str">
        <f ca="1">"{"&amp;_xlfn.TEXTJOIN(", ",TRUE,calcu2!A120:AZ120)&amp;"},"</f>
        <v>{},</v>
      </c>
    </row>
    <row r="121" spans="1:1">
      <c r="A121" s="21" t="str">
        <f ca="1">"{"&amp;_xlfn.TEXTJOIN(", ",TRUE,calcu2!A121:AZ121)&amp;"},"</f>
        <v>{},</v>
      </c>
    </row>
    <row r="122" spans="1:1">
      <c r="A122" s="21" t="str">
        <f ca="1">"{"&amp;_xlfn.TEXTJOIN(", ",TRUE,calcu2!A122:AZ122)&amp;"},"</f>
        <v>{},</v>
      </c>
    </row>
    <row r="123" spans="1:1">
      <c r="A123" s="21" t="str">
        <f ca="1">"{"&amp;_xlfn.TEXTJOIN(", ",TRUE,calcu2!A123:AZ123)&amp;"},"</f>
        <v>{},</v>
      </c>
    </row>
    <row r="124" spans="1:1">
      <c r="A124" s="21" t="str">
        <f ca="1">"{"&amp;_xlfn.TEXTJOIN(", ",TRUE,calcu2!A124:AZ124)&amp;"},"</f>
        <v>{},</v>
      </c>
    </row>
    <row r="125" spans="1:1">
      <c r="A125" s="21" t="str">
        <f ca="1">"{"&amp;_xlfn.TEXTJOIN(", ",TRUE,calcu2!A125:AZ125)&amp;"},"</f>
        <v>{},</v>
      </c>
    </row>
    <row r="126" spans="1:1">
      <c r="A126" s="21" t="str">
        <f ca="1">"{"&amp;_xlfn.TEXTJOIN(", ",TRUE,calcu2!A126:AZ126)&amp;"},"</f>
        <v>{},</v>
      </c>
    </row>
    <row r="127" spans="1:1">
      <c r="A127" s="21" t="str">
        <f ca="1">"{"&amp;_xlfn.TEXTJOIN(", ",TRUE,calcu2!A127:AZ127)&amp;"},"</f>
        <v>{},</v>
      </c>
    </row>
    <row r="128" spans="1:1">
      <c r="A128" s="21" t="str">
        <f ca="1">"{"&amp;_xlfn.TEXTJOIN(", ",TRUE,calcu2!A128:AZ128)&amp;"},"</f>
        <v>{},</v>
      </c>
    </row>
    <row r="129" spans="1:1">
      <c r="A129" s="21" t="str">
        <f ca="1">"{"&amp;_xlfn.TEXTJOIN(", ",TRUE,calcu2!A129:AZ129)&amp;"},"</f>
        <v>{},</v>
      </c>
    </row>
    <row r="130" spans="1:1">
      <c r="A130" s="21" t="str">
        <f ca="1">"{"&amp;_xlfn.TEXTJOIN(", ",TRUE,calcu2!A130:AZ130)&amp;"},"</f>
        <v>{},</v>
      </c>
    </row>
    <row r="131" spans="1:1">
      <c r="A131" s="21" t="str">
        <f ca="1">"{"&amp;_xlfn.TEXTJOIN(", ",TRUE,calcu2!A131:AZ131)&amp;"},"</f>
        <v>{},</v>
      </c>
    </row>
    <row r="132" spans="1:1">
      <c r="A132" s="21" t="str">
        <f ca="1">"{"&amp;_xlfn.TEXTJOIN(", ",TRUE,calcu2!A132:AZ132)&amp;"},"</f>
        <v>{},</v>
      </c>
    </row>
    <row r="133" spans="1:1">
      <c r="A133" s="21" t="str">
        <f ca="1">"{"&amp;_xlfn.TEXTJOIN(", ",TRUE,calcu2!A133:AZ133)&amp;"},"</f>
        <v>{},</v>
      </c>
    </row>
    <row r="134" spans="1:1">
      <c r="A134" s="21" t="str">
        <f ca="1">"{"&amp;_xlfn.TEXTJOIN(", ",TRUE,calcu2!A134:AZ134)&amp;"},"</f>
        <v>{},</v>
      </c>
    </row>
    <row r="135" spans="1:1">
      <c r="A135" s="21" t="str">
        <f ca="1">"{"&amp;_xlfn.TEXTJOIN(", ",TRUE,calcu2!A135:AZ135)&amp;"},"</f>
        <v>{},</v>
      </c>
    </row>
    <row r="136" spans="1:1">
      <c r="A136" s="21" t="str">
        <f ca="1">"{"&amp;_xlfn.TEXTJOIN(", ",TRUE,calcu2!A136:AZ136)&amp;"},"</f>
        <v>{},</v>
      </c>
    </row>
    <row r="137" spans="1:1">
      <c r="A137" s="21" t="str">
        <f ca="1">"{"&amp;_xlfn.TEXTJOIN(", ",TRUE,calcu2!A137:AZ137)&amp;"},"</f>
        <v>{},</v>
      </c>
    </row>
    <row r="138" spans="1:1">
      <c r="A138" s="21" t="str">
        <f ca="1">"{"&amp;_xlfn.TEXTJOIN(", ",TRUE,calcu2!A138:AZ138)&amp;"},"</f>
        <v>{},</v>
      </c>
    </row>
    <row r="139" spans="1:1">
      <c r="A139" s="21" t="str">
        <f ca="1">"{"&amp;_xlfn.TEXTJOIN(", ",TRUE,calcu2!A139:AZ139)&amp;"},"</f>
        <v>{},</v>
      </c>
    </row>
    <row r="140" spans="1:1">
      <c r="A140" s="21" t="str">
        <f ca="1">"{"&amp;_xlfn.TEXTJOIN(", ",TRUE,calcu2!A140:AZ140)&amp;"},"</f>
        <v>{},</v>
      </c>
    </row>
    <row r="141" spans="1:1">
      <c r="A141" s="21" t="str">
        <f ca="1">"{"&amp;_xlfn.TEXTJOIN(", ",TRUE,calcu2!A141:AZ141)&amp;"},"</f>
        <v>{},</v>
      </c>
    </row>
    <row r="142" spans="1:1">
      <c r="A142" s="21" t="str">
        <f ca="1">"{"&amp;_xlfn.TEXTJOIN(", ",TRUE,calcu2!A142:AZ142)&amp;"},"</f>
        <v>{},</v>
      </c>
    </row>
    <row r="143" spans="1:1">
      <c r="A143" s="21" t="str">
        <f ca="1">"{"&amp;_xlfn.TEXTJOIN(", ",TRUE,calcu2!A143:AZ143)&amp;"},"</f>
        <v>{},</v>
      </c>
    </row>
    <row r="144" spans="1:1">
      <c r="A144" s="21" t="str">
        <f ca="1">"{"&amp;_xlfn.TEXTJOIN(", ",TRUE,calcu2!A144:AZ144)&amp;"},"</f>
        <v>{},</v>
      </c>
    </row>
    <row r="145" spans="1:1">
      <c r="A145" s="21" t="str">
        <f ca="1">"{"&amp;_xlfn.TEXTJOIN(", ",TRUE,calcu2!A145:AZ145)&amp;"},"</f>
        <v>{},</v>
      </c>
    </row>
    <row r="146" spans="1:1">
      <c r="A146" s="21" t="str">
        <f ca="1">"{"&amp;_xlfn.TEXTJOIN(", ",TRUE,calcu2!A146:AZ146)&amp;"},"</f>
        <v>{},</v>
      </c>
    </row>
    <row r="147" spans="1:1">
      <c r="A147" s="21" t="str">
        <f ca="1">"{"&amp;_xlfn.TEXTJOIN(", ",TRUE,calcu2!A147:AZ147)&amp;"},"</f>
        <v>{},</v>
      </c>
    </row>
    <row r="148" spans="1:1">
      <c r="A148" s="21" t="str">
        <f ca="1">"{"&amp;_xlfn.TEXTJOIN(", ",TRUE,calcu2!A148:AZ148)&amp;"},"</f>
        <v>{},</v>
      </c>
    </row>
    <row r="149" spans="1:1">
      <c r="A149" s="21" t="str">
        <f ca="1">"{"&amp;_xlfn.TEXTJOIN(", ",TRUE,calcu2!A149:AZ149)&amp;"},"</f>
        <v>{},</v>
      </c>
    </row>
    <row r="150" spans="1:1">
      <c r="A150" s="21" t="str">
        <f ca="1">"{"&amp;_xlfn.TEXTJOIN(", ",TRUE,calcu2!A150:AZ150)&amp;"},"</f>
        <v>{},</v>
      </c>
    </row>
    <row r="151" spans="1:1">
      <c r="A151" s="21" t="str">
        <f ca="1">"{"&amp;_xlfn.TEXTJOIN(", ",TRUE,calcu2!A151:AZ151)&amp;"},"</f>
        <v>{},</v>
      </c>
    </row>
    <row r="152" spans="1:1">
      <c r="A152" s="21" t="str">
        <f ca="1">"{"&amp;_xlfn.TEXTJOIN(", ",TRUE,calcu2!A152:AZ152)&amp;"},"</f>
        <v>{},</v>
      </c>
    </row>
    <row r="153" spans="1:1">
      <c r="A153" s="21" t="str">
        <f ca="1">"{"&amp;_xlfn.TEXTJOIN(", ",TRUE,calcu2!A153:AZ153)&amp;"},"</f>
        <v>{},</v>
      </c>
    </row>
    <row r="154" spans="1:1">
      <c r="A154" s="21" t="str">
        <f ca="1">"{"&amp;_xlfn.TEXTJOIN(", ",TRUE,calcu2!A154:AZ154)&amp;"},"</f>
        <v>{},</v>
      </c>
    </row>
    <row r="155" spans="1:1">
      <c r="A155" s="21" t="str">
        <f ca="1">"{"&amp;_xlfn.TEXTJOIN(", ",TRUE,calcu2!A155:AZ155)&amp;"},"</f>
        <v>{},</v>
      </c>
    </row>
    <row r="156" spans="1:1">
      <c r="A156" s="21" t="str">
        <f ca="1">"{"&amp;_xlfn.TEXTJOIN(", ",TRUE,calcu2!A156:AZ156)&amp;"},"</f>
        <v>{},</v>
      </c>
    </row>
    <row r="157" spans="1:1">
      <c r="A157" s="21" t="str">
        <f ca="1">"{"&amp;_xlfn.TEXTJOIN(", ",TRUE,calcu2!A157:AZ157)&amp;"},"</f>
        <v>{},</v>
      </c>
    </row>
    <row r="158" spans="1:1">
      <c r="A158" s="21" t="str">
        <f ca="1">"{"&amp;_xlfn.TEXTJOIN(", ",TRUE,calcu2!A158:AZ158)&amp;"},"</f>
        <v>{},</v>
      </c>
    </row>
    <row r="159" spans="1:1">
      <c r="A159" s="21" t="str">
        <f ca="1">"{"&amp;_xlfn.TEXTJOIN(", ",TRUE,calcu2!A159:AZ159)&amp;"},"</f>
        <v>{},</v>
      </c>
    </row>
    <row r="160" spans="1:1">
      <c r="A160" s="21" t="str">
        <f ca="1">"{"&amp;_xlfn.TEXTJOIN(", ",TRUE,calcu2!A160:AZ160)&amp;"},"</f>
        <v>{},</v>
      </c>
    </row>
    <row r="161" spans="1:1">
      <c r="A161" s="21" t="str">
        <f ca="1">"{"&amp;_xlfn.TEXTJOIN(", ",TRUE,calcu2!A161:AZ161)&amp;"},"</f>
        <v>{},</v>
      </c>
    </row>
    <row r="162" spans="1:1">
      <c r="A162" s="21" t="str">
        <f ca="1">"{"&amp;_xlfn.TEXTJOIN(", ",TRUE,calcu2!A162:AZ162)&amp;"},"</f>
        <v>{},</v>
      </c>
    </row>
    <row r="163" spans="1:1">
      <c r="A163" s="21" t="str">
        <f ca="1">"{"&amp;_xlfn.TEXTJOIN(", ",TRUE,calcu2!A163:AZ163)&amp;"},"</f>
        <v>{},</v>
      </c>
    </row>
    <row r="164" spans="1:1">
      <c r="A164" s="21" t="str">
        <f ca="1">"{"&amp;_xlfn.TEXTJOIN(", ",TRUE,calcu2!A164:AZ164)&amp;"},"</f>
        <v>{},</v>
      </c>
    </row>
    <row r="165" spans="1:1">
      <c r="A165" s="21" t="str">
        <f ca="1">"{"&amp;_xlfn.TEXTJOIN(", ",TRUE,calcu2!A165:AZ165)&amp;"},"</f>
        <v>{},</v>
      </c>
    </row>
    <row r="166" spans="1:1">
      <c r="A166" s="21" t="str">
        <f ca="1">"{"&amp;_xlfn.TEXTJOIN(", ",TRUE,calcu2!A166:AZ166)&amp;"},"</f>
        <v>{},</v>
      </c>
    </row>
    <row r="167" spans="1:1">
      <c r="A167" s="21" t="str">
        <f ca="1">"{"&amp;_xlfn.TEXTJOIN(", ",TRUE,calcu2!A167:AZ167)&amp;"},"</f>
        <v>{},</v>
      </c>
    </row>
    <row r="168" spans="1:1">
      <c r="A168" s="21" t="str">
        <f ca="1">"{"&amp;_xlfn.TEXTJOIN(", ",TRUE,calcu2!A168:AZ168)&amp;"},"</f>
        <v>{},</v>
      </c>
    </row>
    <row r="169" spans="1:1">
      <c r="A169" s="21" t="str">
        <f ca="1">"{"&amp;_xlfn.TEXTJOIN(", ",TRUE,calcu2!A169:AZ169)&amp;"},"</f>
        <v>{},</v>
      </c>
    </row>
    <row r="170" spans="1:1">
      <c r="A170" s="21" t="str">
        <f ca="1">"{"&amp;_xlfn.TEXTJOIN(", ",TRUE,calcu2!A170:AZ170)&amp;"},"</f>
        <v>{},</v>
      </c>
    </row>
    <row r="171" spans="1:1">
      <c r="A171" s="21" t="str">
        <f ca="1">"{"&amp;_xlfn.TEXTJOIN(", ",TRUE,calcu2!A171:AZ171)&amp;"},"</f>
        <v>{},</v>
      </c>
    </row>
    <row r="172" spans="1:1">
      <c r="A172" s="21" t="str">
        <f ca="1">"{"&amp;_xlfn.TEXTJOIN(", ",TRUE,calcu2!A172:AZ172)&amp;"},"</f>
        <v>{},</v>
      </c>
    </row>
    <row r="173" spans="1:1">
      <c r="A173" s="21" t="str">
        <f ca="1">"{"&amp;_xlfn.TEXTJOIN(", ",TRUE,calcu2!A173:AZ173)&amp;"},"</f>
        <v>{},</v>
      </c>
    </row>
    <row r="174" spans="1:1">
      <c r="A174" s="21" t="str">
        <f ca="1">"{"&amp;_xlfn.TEXTJOIN(", ",TRUE,calcu2!A174:AZ174)&amp;"},"</f>
        <v>{},</v>
      </c>
    </row>
    <row r="175" spans="1:1">
      <c r="A175" s="21" t="str">
        <f ca="1">"{"&amp;_xlfn.TEXTJOIN(", ",TRUE,calcu2!A175:AZ175)&amp;"},"</f>
        <v>{},</v>
      </c>
    </row>
    <row r="176" spans="1:1">
      <c r="A176" s="21" t="str">
        <f ca="1">"{"&amp;_xlfn.TEXTJOIN(", ",TRUE,calcu2!A176:AZ176)&amp;"},"</f>
        <v>{},</v>
      </c>
    </row>
    <row r="177" spans="1:1">
      <c r="A177" s="21" t="str">
        <f ca="1">"{"&amp;_xlfn.TEXTJOIN(", ",TRUE,calcu2!A177:AZ177)&amp;"},"</f>
        <v>{},</v>
      </c>
    </row>
    <row r="178" spans="1:1">
      <c r="A178" s="21" t="str">
        <f ca="1">"{"&amp;_xlfn.TEXTJOIN(", ",TRUE,calcu2!A178:AZ178)&amp;"},"</f>
        <v>{},</v>
      </c>
    </row>
    <row r="179" spans="1:1">
      <c r="A179" s="21" t="str">
        <f ca="1">"{"&amp;_xlfn.TEXTJOIN(", ",TRUE,calcu2!A179:AZ179)&amp;"},"</f>
        <v>{},</v>
      </c>
    </row>
    <row r="180" spans="1:1">
      <c r="A180" s="21" t="str">
        <f ca="1">"{"&amp;_xlfn.TEXTJOIN(", ",TRUE,calcu2!A180:AZ180)&amp;"},"</f>
        <v>{},</v>
      </c>
    </row>
    <row r="181" spans="1:1">
      <c r="A181" s="21" t="str">
        <f ca="1">"{"&amp;_xlfn.TEXTJOIN(", ",TRUE,calcu2!A181:AZ181)&amp;"},"</f>
        <v>{},</v>
      </c>
    </row>
    <row r="182" spans="1:1">
      <c r="A182" s="21" t="str">
        <f ca="1">"{"&amp;_xlfn.TEXTJOIN(", ",TRUE,calcu2!A182:AZ182)&amp;"},"</f>
        <v>{},</v>
      </c>
    </row>
    <row r="183" spans="1:1">
      <c r="A183" s="21" t="str">
        <f ca="1">"{"&amp;_xlfn.TEXTJOIN(", ",TRUE,calcu2!A183:AZ183)&amp;"},"</f>
        <v>{},</v>
      </c>
    </row>
    <row r="184" spans="1:1">
      <c r="A184" s="21" t="str">
        <f ca="1">"{"&amp;_xlfn.TEXTJOIN(", ",TRUE,calcu2!A184:AZ184)&amp;"},"</f>
        <v>{},</v>
      </c>
    </row>
    <row r="185" spans="1:1">
      <c r="A185" s="21" t="str">
        <f ca="1">"{"&amp;_xlfn.TEXTJOIN(", ",TRUE,calcu2!A185:AZ185)&amp;"},"</f>
        <v>{},</v>
      </c>
    </row>
    <row r="186" spans="1:1">
      <c r="A186" s="21" t="str">
        <f ca="1">"{"&amp;_xlfn.TEXTJOIN(", ",TRUE,calcu2!A186:AZ186)&amp;"},"</f>
        <v>{},</v>
      </c>
    </row>
    <row r="187" spans="1:1">
      <c r="A187" s="21" t="str">
        <f ca="1">"{"&amp;_xlfn.TEXTJOIN(", ",TRUE,calcu2!A187:AZ187)&amp;"},"</f>
        <v>{},</v>
      </c>
    </row>
    <row r="188" spans="1:1">
      <c r="A188" s="21" t="str">
        <f ca="1">"{"&amp;_xlfn.TEXTJOIN(", ",TRUE,calcu2!A188:AZ188)&amp;"},"</f>
        <v>{},</v>
      </c>
    </row>
    <row r="189" spans="1:1">
      <c r="A189" s="21" t="str">
        <f ca="1">"{"&amp;_xlfn.TEXTJOIN(", ",TRUE,calcu2!A189:AZ189)&amp;"},"</f>
        <v>{},</v>
      </c>
    </row>
    <row r="190" spans="1:1">
      <c r="A190" s="21" t="str">
        <f ca="1">"{"&amp;_xlfn.TEXTJOIN(", ",TRUE,calcu2!A190:AZ190)&amp;"},"</f>
        <v>{},</v>
      </c>
    </row>
    <row r="191" spans="1:1">
      <c r="A191" s="21" t="str">
        <f ca="1">"{"&amp;_xlfn.TEXTJOIN(", ",TRUE,calcu2!A191:AZ191)&amp;"},"</f>
        <v>{},</v>
      </c>
    </row>
    <row r="192" spans="1:1">
      <c r="A192" s="21" t="str">
        <f ca="1">"{"&amp;_xlfn.TEXTJOIN(", ",TRUE,calcu2!A192:AZ192)&amp;"},"</f>
        <v>{},</v>
      </c>
    </row>
    <row r="193" spans="1:1">
      <c r="A193" s="21" t="str">
        <f ca="1">"{"&amp;_xlfn.TEXTJOIN(", ",TRUE,calcu2!A193:AZ193)&amp;"},"</f>
        <v>{},</v>
      </c>
    </row>
    <row r="194" spans="1:1">
      <c r="A194" s="21" t="str">
        <f ca="1">"{"&amp;_xlfn.TEXTJOIN(", ",TRUE,calcu2!A194:AZ194)&amp;"},"</f>
        <v>{},</v>
      </c>
    </row>
    <row r="195" spans="1:1">
      <c r="A195" s="21" t="str">
        <f ca="1">"{"&amp;_xlfn.TEXTJOIN(", ",TRUE,calcu2!A195:AZ195)&amp;"},"</f>
        <v>{},</v>
      </c>
    </row>
    <row r="196" spans="1:1">
      <c r="A196" s="21" t="str">
        <f ca="1">"{"&amp;_xlfn.TEXTJOIN(", ",TRUE,calcu2!A196:AZ196)&amp;"},"</f>
        <v>{},</v>
      </c>
    </row>
    <row r="197" spans="1:1">
      <c r="A197" s="21" t="str">
        <f ca="1">"{"&amp;_xlfn.TEXTJOIN(", ",TRUE,calcu2!A197:AZ197)&amp;"},"</f>
        <v>{},</v>
      </c>
    </row>
    <row r="198" spans="1:1">
      <c r="A198" s="21" t="str">
        <f ca="1">"{"&amp;_xlfn.TEXTJOIN(", ",TRUE,calcu2!A198:AZ198)&amp;"},"</f>
        <v>{},</v>
      </c>
    </row>
    <row r="199" spans="1:1">
      <c r="A199" s="21" t="str">
        <f ca="1">"{"&amp;_xlfn.TEXTJOIN(", ",TRUE,calcu2!A199:AZ199)&amp;"},"</f>
        <v>{},</v>
      </c>
    </row>
    <row r="200" spans="1:1">
      <c r="A200" s="21" t="str">
        <f ca="1">"{"&amp;_xlfn.TEXTJOIN(", ",TRUE,calcu2!A200:AZ200)&amp;"},"</f>
        <v>{},</v>
      </c>
    </row>
    <row r="201" spans="1:1">
      <c r="A201" s="21" t="str">
        <f ca="1">"{"&amp;_xlfn.TEXTJOIN(", ",TRUE,calcu2!A201:AZ201)&amp;"},"</f>
        <v>{},</v>
      </c>
    </row>
    <row r="202" spans="1:1">
      <c r="A202" s="21" t="str">
        <f ca="1">"{"&amp;_xlfn.TEXTJOIN(", ",TRUE,calcu2!A202:AZ202)&amp;"},"</f>
        <v>{},</v>
      </c>
    </row>
    <row r="203" spans="1:1">
      <c r="A203" s="21" t="str">
        <f ca="1">"{"&amp;_xlfn.TEXTJOIN(", ",TRUE,calcu2!A203:AZ203)&amp;"},"</f>
        <v>{},</v>
      </c>
    </row>
    <row r="204" spans="1:1">
      <c r="A204" s="21" t="str">
        <f ca="1">"{"&amp;_xlfn.TEXTJOIN(", ",TRUE,calcu2!A204:AZ204)&amp;"},"</f>
        <v>{},</v>
      </c>
    </row>
    <row r="205" spans="1:1">
      <c r="A205" s="21" t="str">
        <f ca="1">"{"&amp;_xlfn.TEXTJOIN(", ",TRUE,calcu2!A205:AZ205)&amp;"},"</f>
        <v>{},</v>
      </c>
    </row>
    <row r="206" spans="1:1">
      <c r="A206" s="21" t="str">
        <f ca="1">"{"&amp;_xlfn.TEXTJOIN(", ",TRUE,calcu2!A206:AZ206)&amp;"},"</f>
        <v>{},</v>
      </c>
    </row>
    <row r="207" spans="1:1">
      <c r="A207" s="21" t="str">
        <f ca="1">"{"&amp;_xlfn.TEXTJOIN(", ",TRUE,calcu2!A207:AZ207)&amp;"},"</f>
        <v>{},</v>
      </c>
    </row>
    <row r="208" spans="1:1">
      <c r="A208" s="21" t="str">
        <f ca="1">"{"&amp;_xlfn.TEXTJOIN(", ",TRUE,calcu2!A208:AZ208)&amp;"},"</f>
        <v>{},</v>
      </c>
    </row>
    <row r="209" spans="1:1">
      <c r="A209" s="21" t="str">
        <f ca="1">"{"&amp;_xlfn.TEXTJOIN(", ",TRUE,calcu2!A209:AZ209)&amp;"},"</f>
        <v>{},</v>
      </c>
    </row>
    <row r="210" spans="1:1">
      <c r="A210" s="21" t="str">
        <f ca="1">"{"&amp;_xlfn.TEXTJOIN(", ",TRUE,calcu2!A210:AZ210)&amp;"},"</f>
        <v>{},</v>
      </c>
    </row>
    <row r="211" spans="1:1">
      <c r="A211" s="21" t="str">
        <f ca="1">"{"&amp;_xlfn.TEXTJOIN(", ",TRUE,calcu2!A211:AZ211)&amp;"},"</f>
        <v>{},</v>
      </c>
    </row>
    <row r="212" spans="1:1">
      <c r="A212" s="21" t="str">
        <f ca="1">"{"&amp;_xlfn.TEXTJOIN(", ",TRUE,calcu2!A212:AZ212)&amp;"},"</f>
        <v>{},</v>
      </c>
    </row>
    <row r="213" spans="1:1">
      <c r="A213" s="21" t="str">
        <f ca="1">"{"&amp;_xlfn.TEXTJOIN(", ",TRUE,calcu2!A213:AZ213)&amp;"},"</f>
        <v>{},</v>
      </c>
    </row>
    <row r="214" spans="1:1">
      <c r="A214" s="21" t="str">
        <f ca="1">"{"&amp;_xlfn.TEXTJOIN(", ",TRUE,calcu2!A214:AZ214)&amp;"},"</f>
        <v>{},</v>
      </c>
    </row>
    <row r="215" spans="1:1">
      <c r="A215" s="21" t="str">
        <f ca="1">"{"&amp;_xlfn.TEXTJOIN(", ",TRUE,calcu2!A215:AZ215)&amp;"},"</f>
        <v>{},</v>
      </c>
    </row>
    <row r="216" spans="1:1">
      <c r="A216" s="21" t="str">
        <f ca="1">"{"&amp;_xlfn.TEXTJOIN(", ",TRUE,calcu2!A216:AZ216)&amp;"},"</f>
        <v>{},</v>
      </c>
    </row>
    <row r="217" spans="1:1">
      <c r="A217" s="21" t="str">
        <f ca="1">"{"&amp;_xlfn.TEXTJOIN(", ",TRUE,calcu2!A217:AZ217)&amp;"},"</f>
        <v>{},</v>
      </c>
    </row>
    <row r="218" spans="1:1">
      <c r="A218" s="21" t="str">
        <f ca="1">"{"&amp;_xlfn.TEXTJOIN(", ",TRUE,calcu2!A218:AZ218)&amp;"},"</f>
        <v>{},</v>
      </c>
    </row>
    <row r="219" spans="1:1">
      <c r="A219" s="21" t="str">
        <f ca="1">"{"&amp;_xlfn.TEXTJOIN(", ",TRUE,calcu2!A219:AZ219)&amp;"},"</f>
        <v>{},</v>
      </c>
    </row>
    <row r="220" spans="1:1">
      <c r="A220" s="21" t="str">
        <f ca="1">"{"&amp;_xlfn.TEXTJOIN(", ",TRUE,calcu2!A220:AZ220)&amp;"},"</f>
        <v>{},</v>
      </c>
    </row>
    <row r="221" spans="1:1">
      <c r="A221" s="21" t="str">
        <f ca="1">"{"&amp;_xlfn.TEXTJOIN(", ",TRUE,calcu2!A221:AZ221)&amp;"},"</f>
        <v>{},</v>
      </c>
    </row>
    <row r="222" spans="1:1">
      <c r="A222" s="21" t="str">
        <f ca="1">"{"&amp;_xlfn.TEXTJOIN(", ",TRUE,calcu2!A222:AZ222)&amp;"},"</f>
        <v>{},</v>
      </c>
    </row>
    <row r="223" spans="1:1">
      <c r="A223" s="21" t="str">
        <f ca="1">"{"&amp;_xlfn.TEXTJOIN(", ",TRUE,calcu2!A223:AZ223)&amp;"},"</f>
        <v>{},</v>
      </c>
    </row>
    <row r="224" spans="1:1">
      <c r="A224" s="21" t="str">
        <f ca="1">"{"&amp;_xlfn.TEXTJOIN(", ",TRUE,calcu2!A224:AZ224)&amp;"},"</f>
        <v>{},</v>
      </c>
    </row>
    <row r="225" spans="1:1">
      <c r="A225" s="21" t="str">
        <f ca="1">"{"&amp;_xlfn.TEXTJOIN(", ",TRUE,calcu2!A225:AZ225)&amp;"},"</f>
        <v>{},</v>
      </c>
    </row>
    <row r="226" spans="1:1">
      <c r="A226" s="21" t="str">
        <f ca="1">"{"&amp;_xlfn.TEXTJOIN(", ",TRUE,calcu2!A226:AZ226)&amp;"},"</f>
        <v>{},</v>
      </c>
    </row>
    <row r="227" spans="1:1">
      <c r="A227" s="21" t="str">
        <f ca="1">"{"&amp;_xlfn.TEXTJOIN(", ",TRUE,calcu2!A227:AZ227)&amp;"},"</f>
        <v>{},</v>
      </c>
    </row>
    <row r="228" spans="1:1">
      <c r="A228" s="21" t="str">
        <f ca="1">"{"&amp;_xlfn.TEXTJOIN(", ",TRUE,calcu2!A228:AZ228)&amp;"},"</f>
        <v>{},</v>
      </c>
    </row>
    <row r="229" spans="1:1">
      <c r="A229" s="21" t="str">
        <f ca="1">"{"&amp;_xlfn.TEXTJOIN(", ",TRUE,calcu2!A229:AZ229)&amp;"},"</f>
        <v>{},</v>
      </c>
    </row>
    <row r="230" spans="1:1">
      <c r="A230" s="21" t="str">
        <f ca="1">"{"&amp;_xlfn.TEXTJOIN(", ",TRUE,calcu2!A230:AZ230)&amp;"},"</f>
        <v>{},</v>
      </c>
    </row>
    <row r="231" spans="1:1">
      <c r="A231" s="21" t="str">
        <f ca="1">"{"&amp;_xlfn.TEXTJOIN(", ",TRUE,calcu2!A231:AZ231)&amp;"},"</f>
        <v>{},</v>
      </c>
    </row>
    <row r="232" spans="1:1">
      <c r="A232" s="21" t="str">
        <f ca="1">"{"&amp;_xlfn.TEXTJOIN(", ",TRUE,calcu2!A232:AZ232)&amp;"},"</f>
        <v>{},</v>
      </c>
    </row>
    <row r="233" spans="1:1">
      <c r="A233" s="21" t="str">
        <f ca="1">"{"&amp;_xlfn.TEXTJOIN(", ",TRUE,calcu2!A233:AZ233)&amp;"},"</f>
        <v>{},</v>
      </c>
    </row>
    <row r="234" spans="1:1">
      <c r="A234" s="21" t="str">
        <f ca="1">"{"&amp;_xlfn.TEXTJOIN(", ",TRUE,calcu2!A234:AZ234)&amp;"},"</f>
        <v>{},</v>
      </c>
    </row>
    <row r="235" spans="1:1">
      <c r="A235" s="21" t="str">
        <f ca="1">"{"&amp;_xlfn.TEXTJOIN(", ",TRUE,calcu2!A235:AZ235)&amp;"},"</f>
        <v>{},</v>
      </c>
    </row>
    <row r="236" spans="1:1">
      <c r="A236" s="21" t="str">
        <f ca="1">"{"&amp;_xlfn.TEXTJOIN(", ",TRUE,calcu2!A236:AZ236)&amp;"},"</f>
        <v>{},</v>
      </c>
    </row>
    <row r="237" spans="1:1">
      <c r="A237" s="21" t="str">
        <f ca="1">"{"&amp;_xlfn.TEXTJOIN(", ",TRUE,calcu2!A237:AZ237)&amp;"},"</f>
        <v>{},</v>
      </c>
    </row>
    <row r="238" spans="1:1">
      <c r="A238" s="21" t="str">
        <f ca="1">"{"&amp;_xlfn.TEXTJOIN(", ",TRUE,calcu2!A238:AZ238)&amp;"},"</f>
        <v>{},</v>
      </c>
    </row>
    <row r="239" spans="1:1">
      <c r="A239" s="21" t="str">
        <f ca="1">"{"&amp;_xlfn.TEXTJOIN(", ",TRUE,calcu2!A239:AZ239)&amp;"},"</f>
        <v>{},</v>
      </c>
    </row>
    <row r="240" spans="1:1">
      <c r="A240" s="21" t="str">
        <f ca="1">"{"&amp;_xlfn.TEXTJOIN(", ",TRUE,calcu2!A240:AZ240)&amp;"},"</f>
        <v>{},</v>
      </c>
    </row>
    <row r="241" spans="1:1">
      <c r="A241" s="21" t="str">
        <f ca="1">"{"&amp;_xlfn.TEXTJOIN(", ",TRUE,calcu2!A241:AZ241)&amp;"},"</f>
        <v>{},</v>
      </c>
    </row>
    <row r="242" spans="1:1">
      <c r="A242" s="21" t="str">
        <f ca="1">"{"&amp;_xlfn.TEXTJOIN(", ",TRUE,calcu2!A242:AZ242)&amp;"},"</f>
        <v>{},</v>
      </c>
    </row>
    <row r="243" spans="1:1">
      <c r="A243" s="21" t="str">
        <f ca="1">"{"&amp;_xlfn.TEXTJOIN(", ",TRUE,calcu2!A243:AZ243)&amp;"},"</f>
        <v>{},</v>
      </c>
    </row>
    <row r="244" spans="1:1">
      <c r="A244" s="21" t="str">
        <f ca="1">"{"&amp;_xlfn.TEXTJOIN(", ",TRUE,calcu2!A244:AZ244)&amp;"},"</f>
        <v>{},</v>
      </c>
    </row>
    <row r="245" spans="1:1">
      <c r="A245" s="21" t="str">
        <f ca="1">"{"&amp;_xlfn.TEXTJOIN(", ",TRUE,calcu2!A245:AZ245)&amp;"},"</f>
        <v>{},</v>
      </c>
    </row>
    <row r="246" spans="1:1">
      <c r="A246" s="21" t="str">
        <f ca="1">"{"&amp;_xlfn.TEXTJOIN(", ",TRUE,calcu2!A246:AZ246)&amp;"},"</f>
        <v>{},</v>
      </c>
    </row>
    <row r="247" spans="1:1">
      <c r="A247" s="21" t="str">
        <f ca="1">"{"&amp;_xlfn.TEXTJOIN(", ",TRUE,calcu2!A247:AZ247)&amp;"},"</f>
        <v>{},</v>
      </c>
    </row>
    <row r="248" spans="1:1">
      <c r="A248" s="21" t="str">
        <f ca="1">"{"&amp;_xlfn.TEXTJOIN(", ",TRUE,calcu2!A248:AZ248)&amp;"},"</f>
        <v>{},</v>
      </c>
    </row>
    <row r="249" spans="1:1">
      <c r="A249" s="21" t="str">
        <f ca="1">"{"&amp;_xlfn.TEXTJOIN(", ",TRUE,calcu2!A249:AZ249)&amp;"},"</f>
        <v>{},</v>
      </c>
    </row>
    <row r="250" spans="1:1">
      <c r="A250" s="21" t="str">
        <f ca="1">"{"&amp;_xlfn.TEXTJOIN(", ",TRUE,calcu2!A250:AZ250)&amp;"},"</f>
        <v>{},</v>
      </c>
    </row>
    <row r="251" spans="1:1">
      <c r="A251" s="21" t="str">
        <f ca="1">"{"&amp;_xlfn.TEXTJOIN(", ",TRUE,calcu2!A251:AZ251)&amp;"},"</f>
        <v>{},</v>
      </c>
    </row>
    <row r="252" spans="1:1">
      <c r="A252" s="21" t="str">
        <f ca="1">"{"&amp;_xlfn.TEXTJOIN(", ",TRUE,calcu2!A252:AZ252)&amp;"},"</f>
        <v>{},</v>
      </c>
    </row>
    <row r="253" spans="1:1">
      <c r="A253" s="21" t="str">
        <f ca="1">"{"&amp;_xlfn.TEXTJOIN(", ",TRUE,calcu2!A253:AZ253)&amp;"},"</f>
        <v>{},</v>
      </c>
    </row>
    <row r="254" spans="1:1">
      <c r="A254" s="21" t="str">
        <f ca="1">"{"&amp;_xlfn.TEXTJOIN(", ",TRUE,calcu2!A254:AZ254)&amp;"},"</f>
        <v>{},</v>
      </c>
    </row>
    <row r="255" spans="1:1">
      <c r="A255" s="21" t="str">
        <f ca="1">"{"&amp;_xlfn.TEXTJOIN(", ",TRUE,calcu2!A255:AZ255)&amp;"},"</f>
        <v>{},</v>
      </c>
    </row>
    <row r="256" spans="1:1">
      <c r="A256" s="21" t="str">
        <f>"{"&amp;_xlfn.TEXTJOIN(", ",TRUE,calcu2!A256:AZ256)&amp;"},"</f>
        <v>{},</v>
      </c>
    </row>
    <row r="257" spans="1:1">
      <c r="A257" s="21" t="str">
        <f>"{"&amp;_xlfn.TEXTJOIN(", ",TRUE,calcu2!A257:AZ257)&amp;"},"</f>
        <v>{},</v>
      </c>
    </row>
    <row r="258" spans="1:1">
      <c r="A258" s="21" t="str">
        <f>"{"&amp;_xlfn.TEXTJOIN(", ",TRUE,calcu2!A258:AZ258)&amp;"},"</f>
        <v>{},</v>
      </c>
    </row>
    <row r="259" spans="1:1">
      <c r="A259" s="21" t="str">
        <f>"{"&amp;_xlfn.TEXTJOIN(", ",TRUE,calcu2!A259:AZ259)&amp;"},"</f>
        <v>{},</v>
      </c>
    </row>
    <row r="260" spans="1:1">
      <c r="A260" s="21" t="str">
        <f>"{"&amp;_xlfn.TEXTJOIN(", ",TRUE,calcu2!A260:AZ260)&amp;"},"</f>
        <v>{},</v>
      </c>
    </row>
    <row r="261" spans="1:1">
      <c r="A261" s="21" t="str">
        <f>"{"&amp;_xlfn.TEXTJOIN(", ",TRUE,calcu2!A261:AZ261)&amp;"},"</f>
        <v>{},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FD65-E7AE-4292-9047-D943ABC36571}">
  <sheetPr codeName="Sheet3"/>
  <dimension ref="A1:AM16"/>
  <sheetViews>
    <sheetView zoomScale="70" zoomScaleNormal="70" workbookViewId="0">
      <selection activeCell="A2" sqref="A2"/>
    </sheetView>
  </sheetViews>
  <sheetFormatPr defaultRowHeight="18"/>
  <cols>
    <col min="1" max="1" width="9.3984375" bestFit="1" customWidth="1"/>
    <col min="2" max="2" width="20.19921875" bestFit="1" customWidth="1"/>
    <col min="3" max="3" width="14.8984375" bestFit="1" customWidth="1"/>
    <col min="4" max="4" width="14.5" bestFit="1" customWidth="1"/>
    <col min="5" max="5" width="18.19921875" bestFit="1" customWidth="1"/>
    <col min="6" max="6" width="9.59765625" bestFit="1" customWidth="1"/>
    <col min="7" max="7" width="15.69921875" bestFit="1" customWidth="1"/>
    <col min="8" max="8" width="13.3984375" bestFit="1" customWidth="1"/>
    <col min="9" max="9" width="17.19921875" bestFit="1" customWidth="1"/>
    <col min="10" max="10" width="18.8984375" bestFit="1" customWidth="1"/>
    <col min="11" max="11" width="12" bestFit="1" customWidth="1"/>
    <col min="12" max="12" width="15.59765625" bestFit="1" customWidth="1"/>
    <col min="13" max="13" width="18.09765625" bestFit="1" customWidth="1"/>
    <col min="14" max="14" width="15.59765625" bestFit="1" customWidth="1"/>
    <col min="15" max="15" width="18.09765625" bestFit="1" customWidth="1"/>
    <col min="16" max="16" width="20.3984375" bestFit="1" customWidth="1"/>
    <col min="17" max="17" width="15.69921875" bestFit="1" customWidth="1"/>
    <col min="18" max="18" width="23.69921875" bestFit="1" customWidth="1"/>
    <col min="19" max="19" width="15.69921875" bestFit="1" customWidth="1"/>
    <col min="20" max="20" width="7.3984375" bestFit="1" customWidth="1"/>
    <col min="21" max="21" width="28.59765625" bestFit="1" customWidth="1"/>
    <col min="22" max="22" width="18" bestFit="1" customWidth="1"/>
    <col min="23" max="23" width="13.3984375" bestFit="1" customWidth="1"/>
    <col min="24" max="24" width="14.5" bestFit="1" customWidth="1"/>
    <col min="25" max="25" width="17" bestFit="1" customWidth="1"/>
    <col min="26" max="26" width="17.5" bestFit="1" customWidth="1"/>
    <col min="28" max="28" width="8.3984375" customWidth="1"/>
  </cols>
  <sheetData>
    <row r="1" spans="1:39">
      <c r="A1" t="str" cm="1">
        <f t="array" ref="A1:AE1">変換前のテーブル[#Headers]</f>
        <v>index</v>
      </c>
      <c r="B1" t="str">
        <v>display_name</v>
      </c>
      <c r="C1" t="str">
        <v>data_type</v>
      </c>
      <c r="D1" t="str">
        <v>label_name</v>
      </c>
      <c r="E1" t="str">
        <v>line_edit_name</v>
      </c>
      <c r="F1" t="str">
        <v>is_last</v>
      </c>
      <c r="G1" t="str">
        <v>line_edit_obj</v>
      </c>
      <c r="H1" t="str">
        <v>ime_mode</v>
      </c>
      <c r="I1" t="str">
        <v>pn_auto_input</v>
      </c>
      <c r="J1" t="str">
        <v>text_conversion</v>
      </c>
      <c r="K1" t="str">
        <v>label_obj</v>
      </c>
      <c r="L1" t="str">
        <v>frame_a_obj</v>
      </c>
      <c r="M1" t="str">
        <v>frame_a_name</v>
      </c>
      <c r="N1" t="str">
        <v>frame_b_obj</v>
      </c>
      <c r="O1" t="str">
        <v>frame_b_name</v>
      </c>
      <c r="P1" t="str">
        <v>layout_a_name</v>
      </c>
      <c r="Q1" t="str">
        <v>layout_a_obj</v>
      </c>
      <c r="R1" t="str">
        <v>layout_b_name</v>
      </c>
      <c r="S1" t="str">
        <v>layout_b_obj</v>
      </c>
      <c r="T1" t="str">
        <v>info</v>
      </c>
      <c r="U1" t="str">
        <v>is_rept</v>
      </c>
      <c r="V1" t="str">
        <v>is_show</v>
      </c>
      <c r="W1" t="str">
        <v>list_item</v>
      </c>
      <c r="X1" t="str">
        <v>name</v>
      </c>
      <c r="Y1" t="str">
        <v>replace_keys</v>
      </c>
      <c r="Z1" t="str">
        <v>replace_values</v>
      </c>
      <c r="AA1" t="str">
        <v>is_b_line_show</v>
      </c>
      <c r="AB1" t="str">
        <v>length</v>
      </c>
      <c r="AC1" t="str">
        <v>min_max</v>
      </c>
      <c r="AD1" t="str">
        <v>re</v>
      </c>
      <c r="AE1" t="str">
        <v>remarks</v>
      </c>
    </row>
    <row r="2" spans="1:39">
      <c r="A2" cm="1">
        <f t="array" aca="1" ref="A2:A16" ca="1">_xlfn.LET(_xlpm._HasQuote, _xlfn.XLOOKUP(A$1,_xlfn.ANCHORARRAY(config!$U$5),_xlfn.ANCHORARRAY(config!$V$5),FALSE),
  _xlpm._Indirect, INDIRECT("変換前のテーブル[["&amp;A$1&amp;"]]"),
  _xlpm._Result, IF(_xlpm._HasQuote,"'"&amp;_xlpm._Indirect&amp;"'",_xlpm._Indirect),
  _xlpm._Result
)</f>
        <v>0</v>
      </c>
      <c r="B2" t="str" cm="1">
        <f t="array" aca="1" ref="B2:B16" ca="1">_xlfn.LET(_xlpm._HasQuote, _xlfn.XLOOKUP(B$1,_xlfn.ANCHORARRAY(config!$U$5),_xlfn.ANCHORARRAY(config!$V$5),FALSE),
  _xlpm._Indirect, INDIRECT("変換前のテーブル[["&amp;B$1&amp;"]]"),
  _xlpm._Result, IF(_xlpm._HasQuote,"'"&amp;_xlpm._Indirect&amp;"'",_xlpm._Indirect),
  _xlpm._Result
)</f>
        <v>'ID:'</v>
      </c>
      <c r="C2" t="str" cm="1">
        <f t="array" aca="1" ref="C2:C16" ca="1">_xlfn.LET(_xlpm._HasQuote, _xlfn.XLOOKUP(C$1,_xlfn.ANCHORARRAY(config!$U$5),_xlfn.ANCHORARRAY(config!$V$5),FALSE),
  _xlpm._Indirect, INDIRECT("変換前のテーブル[["&amp;C$1&amp;"]]"),
  _xlpm._Result, IF(_xlpm._HasQuote,"'"&amp;_xlpm._Indirect&amp;"'",_xlpm._Indirect),
  _xlpm._Result
)</f>
        <v>'hankaku-eisu-kuromaru_lenjust'</v>
      </c>
      <c r="D2" t="str" cm="1">
        <f t="array" aca="1" ref="D2:D16" ca="1">_xlfn.LET(_xlpm._HasQuote, _xlfn.XLOOKUP(D$1,_xlfn.ANCHORARRAY(config!$U$5),_xlfn.ANCHORARRAY(config!$V$5),FALSE),
  _xlpm._Indirect, INDIRECT("変換前のテーブル[["&amp;D$1&amp;"]]"),
  _xlpm._Result, IF(_xlpm._HasQuote,"'"&amp;_xlpm._Indirect&amp;"'",_xlpm._Indirect),
  _xlpm._Result
)</f>
        <v>'label_0_'</v>
      </c>
      <c r="E2" t="str" cm="1">
        <f t="array" aca="1" ref="E2:E16" ca="1">_xlfn.LET(_xlpm._HasQuote, _xlfn.XLOOKUP(E$1,_xlfn.ANCHORARRAY(config!$U$5),_xlfn.ANCHORARRAY(config!$V$5),FALSE),
  _xlpm._Indirect, INDIRECT("変換前のテーブル[["&amp;E$1&amp;"]]"),
  _xlpm._Result, IF(_xlpm._HasQuote,"'"&amp;_xlpm._Indirect&amp;"'",_xlpm._Indirect),
  _xlpm._Result
)</f>
        <v>'lineEdit_0_'</v>
      </c>
      <c r="F2" cm="1">
        <f t="array" aca="1" ref="F2:F16" ca="1">_xlfn.LET(_xlpm._HasQuote, _xlfn.XLOOKUP(F$1,_xlfn.ANCHORARRAY(config!$U$5),_xlfn.ANCHORARRAY(config!$V$5),FALSE),
  _xlpm._Indirect, INDIRECT("変換前のテーブル[["&amp;F$1&amp;"]]"),
  _xlpm._Result, IF(_xlpm._HasQuote,"'"&amp;_xlpm._Indirect&amp;"'",_xlpm._Indirect),
  _xlpm._Result
)</f>
        <v>-1</v>
      </c>
      <c r="G2" t="str" cm="1">
        <f t="array" aca="1" ref="G2:G16" ca="1">_xlfn.LET(_xlpm._HasQuote, _xlfn.XLOOKUP(G$1,_xlfn.ANCHORARRAY(config!$U$5),_xlfn.ANCHORARRAY(config!$V$5),FALSE),
  _xlpm._Indirect, INDIRECT("変換前のテーブル[["&amp;G$1&amp;"]]"),
  _xlpm._Result, IF(_xlpm._HasQuote,"'"&amp;_xlpm._Indirect&amp;"'",_xlpm._Indirect),
  _xlpm._Result
)</f>
        <v>''</v>
      </c>
      <c r="H2" t="str" cm="1">
        <f t="array" aca="1" ref="H2:H16" ca="1">_xlfn.LET(_xlpm._HasQuote, _xlfn.XLOOKUP(H$1,_xlfn.ANCHORARRAY(config!$U$5),_xlfn.ANCHORARRAY(config!$V$5),FALSE),
  _xlpm._Indirect, INDIRECT("変換前のテーブル[["&amp;H$1&amp;"]]"),
  _xlpm._Result, IF(_xlpm._HasQuote,"'"&amp;_xlpm._Indirect&amp;"'",_xlpm._Indirect),
  _xlpm._Result
)</f>
        <v>'en'</v>
      </c>
      <c r="I2" t="str" cm="1">
        <f t="array" aca="1" ref="I2:I16" ca="1">_xlfn.LET(_xlpm._HasQuote, _xlfn.XLOOKUP(I$1,_xlfn.ANCHORARRAY(config!$U$5),_xlfn.ANCHORARRAY(config!$V$5),FALSE),
  _xlpm._Indirect, INDIRECT("変換前のテーブル[["&amp;I$1&amp;"]]"),
  _xlpm._Result, IF(_xlpm._HasQuote,"'"&amp;_xlpm._Indirect&amp;"'",_xlpm._Indirect),
  _xlpm._Result
)</f>
        <v>'null'</v>
      </c>
      <c r="J2" t="str" cm="1">
        <f t="array" aca="1" ref="J2:J16" ca="1">_xlfn.LET(_xlpm._HasQuote, _xlfn.XLOOKUP(J$1,_xlfn.ANCHORARRAY(config!$U$5),_xlfn.ANCHORARRAY(config!$V$5),FALSE),
  _xlpm._Indirect, INDIRECT("変換前のテーブル[["&amp;J$1&amp;"]]"),
  _xlpm._Result, IF(_xlpm._HasQuote,"'"&amp;_xlpm._Indirect&amp;"'",_xlpm._Indirect),
  _xlpm._Result
)</f>
        <v>''</v>
      </c>
      <c r="K2" t="str" cm="1">
        <f t="array" aca="1" ref="K2:K16" ca="1">_xlfn.LET(_xlpm._HasQuote, _xlfn.XLOOKUP(K$1,_xlfn.ANCHORARRAY(config!$U$5),_xlfn.ANCHORARRAY(config!$V$5),FALSE),
  _xlpm._Indirect, INDIRECT("変換前のテーブル[["&amp;K$1&amp;"]]"),
  _xlpm._Result, IF(_xlpm._HasQuote,"'"&amp;_xlpm._Indirect&amp;"'",_xlpm._Indirect),
  _xlpm._Result
)</f>
        <v>''</v>
      </c>
      <c r="L2" t="str" cm="1">
        <f t="array" aca="1" ref="L2:L16" ca="1">_xlfn.LET(_xlpm._HasQuote, _xlfn.XLOOKUP(L$1,_xlfn.ANCHORARRAY(config!$U$5),_xlfn.ANCHORARRAY(config!$V$5),FALSE),
  _xlpm._Indirect, INDIRECT("変換前のテーブル[["&amp;L$1&amp;"]]"),
  _xlpm._Result, IF(_xlpm._HasQuote,"'"&amp;_xlpm._Indirect&amp;"'",_xlpm._Indirect),
  _xlpm._Result
)</f>
        <v>''</v>
      </c>
      <c r="M2" t="str" cm="1">
        <f t="array" aca="1" ref="M2:M16" ca="1">_xlfn.LET(_xlpm._HasQuote, _xlfn.XLOOKUP(M$1,_xlfn.ANCHORARRAY(config!$U$5),_xlfn.ANCHORARRAY(config!$V$5),FALSE),
  _xlpm._Indirect, INDIRECT("変換前のテーブル[["&amp;M$1&amp;"]]"),
  _xlpm._Result, IF(_xlpm._HasQuote,"'"&amp;_xlpm._Indirect&amp;"'",_xlpm._Indirect),
  _xlpm._Result
)</f>
        <v>'frame_0_'</v>
      </c>
      <c r="N2" t="str" cm="1">
        <f t="array" aca="1" ref="N2:N16" ca="1">_xlfn.LET(_xlpm._HasQuote, _xlfn.XLOOKUP(N$1,_xlfn.ANCHORARRAY(config!$U$5),_xlfn.ANCHORARRAY(config!$V$5),FALSE),
  _xlpm._Indirect, INDIRECT("変換前のテーブル[["&amp;N$1&amp;"]]"),
  _xlpm._Result, IF(_xlpm._HasQuote,"'"&amp;_xlpm._Indirect&amp;"'",_xlpm._Indirect),
  _xlpm._Result
)</f>
        <v>''</v>
      </c>
      <c r="O2" t="str" cm="1">
        <f t="array" aca="1" ref="O2:O16" ca="1">_xlfn.LET(_xlpm._HasQuote, _xlfn.XLOOKUP(O$1,_xlfn.ANCHORARRAY(config!$U$5),_xlfn.ANCHORARRAY(config!$V$5),FALSE),
  _xlpm._Indirect, INDIRECT("変換前のテーブル[["&amp;O$1&amp;"]]"),
  _xlpm._Result, IF(_xlpm._HasQuote,"'"&amp;_xlpm._Indirect&amp;"'",_xlpm._Indirect),
  _xlpm._Result
)</f>
        <v>'frame__0__'</v>
      </c>
      <c r="P2" t="str" cm="1">
        <f t="array" aca="1" ref="P2:P16" ca="1">_xlfn.LET(_xlpm._HasQuote, _xlfn.XLOOKUP(P$1,_xlfn.ANCHORARRAY(config!$U$5),_xlfn.ANCHORARRAY(config!$V$5),FALSE),
  _xlpm._Indirect, INDIRECT("変換前のテーブル[["&amp;P$1&amp;"]]"),
  _xlpm._Result, IF(_xlpm._HasQuote,"'"&amp;_xlpm._Indirect&amp;"'",_xlpm._Indirect),
  _xlpm._Result
)</f>
        <v>'horizontalLayout_0_'</v>
      </c>
      <c r="Q2" t="str" cm="1">
        <f t="array" aca="1" ref="Q2:Q16" ca="1">_xlfn.LET(_xlpm._HasQuote, _xlfn.XLOOKUP(Q$1,_xlfn.ANCHORARRAY(config!$U$5),_xlfn.ANCHORARRAY(config!$V$5),FALSE),
  _xlpm._Indirect, INDIRECT("変換前のテーブル[["&amp;Q$1&amp;"]]"),
  _xlpm._Result, IF(_xlpm._HasQuote,"'"&amp;_xlpm._Indirect&amp;"'",_xlpm._Indirect),
  _xlpm._Result
)</f>
        <v>''</v>
      </c>
      <c r="R2" t="str" cm="1">
        <f t="array" aca="1" ref="R2:R16" ca="1">_xlfn.LET(_xlpm._HasQuote, _xlfn.XLOOKUP(R$1,_xlfn.ANCHORARRAY(config!$U$5),_xlfn.ANCHORARRAY(config!$V$5),FALSE),
  _xlpm._Indirect, INDIRECT("変換前のテーブル[["&amp;R$1&amp;"]]"),
  _xlpm._Result, IF(_xlpm._HasQuote,"'"&amp;_xlpm._Indirect&amp;"'",_xlpm._Indirect),
  _xlpm._Result
)</f>
        <v>'horizontalLayout__0__'</v>
      </c>
      <c r="S2" t="str" cm="1">
        <f t="array" aca="1" ref="S2:S16" ca="1">_xlfn.LET(_xlpm._HasQuote, _xlfn.XLOOKUP(S$1,_xlfn.ANCHORARRAY(config!$U$5),_xlfn.ANCHORARRAY(config!$V$5),FALSE),
  _xlpm._Indirect, INDIRECT("変換前のテーブル[["&amp;S$1&amp;"]]"),
  _xlpm._Result, IF(_xlpm._HasQuote,"'"&amp;_xlpm._Indirect&amp;"'",_xlpm._Indirect),
  _xlpm._Result
)</f>
        <v>''</v>
      </c>
      <c r="T2" t="str" cm="1">
        <f t="array" aca="1" ref="T2:T16" ca="1">_xlfn.LET(_xlpm._HasQuote, _xlfn.XLOOKUP(T$1,_xlfn.ANCHORARRAY(config!$U$5),_xlfn.ANCHORARRAY(config!$V$5),FALSE),
  _xlpm._Indirect, INDIRECT("変換前のテーブル[["&amp;T$1&amp;"]]"),
  _xlpm._Result, IF(_xlpm._HasQuote,"'"&amp;_xlpm._Indirect&amp;"'",_xlpm._Indirect),
  _xlpm._Result
)</f>
        <v>'ID: 数字10桁'</v>
      </c>
      <c r="U2" t="str" cm="1">
        <f t="array" aca="1" ref="U2:U16" ca="1">_xlfn.LET(_xlpm._HasQuote, _xlfn.XLOOKUP(U$1,_xlfn.ANCHORARRAY(config!$U$5),_xlfn.ANCHORARRAY(config!$V$5),FALSE),
  _xlpm._Indirect, INDIRECT("変換前のテーブル[["&amp;U$1&amp;"]]"),
  _xlpm._Result, IF(_xlpm._HasQuote,"'"&amp;_xlpm._Indirect&amp;"'",_xlpm._Indirect),
  _xlpm._Result
)</f>
        <v>False</v>
      </c>
      <c r="V2" t="str" cm="1">
        <f t="array" aca="1" ref="V2:V16" ca="1">_xlfn.LET(_xlpm._HasQuote, _xlfn.XLOOKUP(V$1,_xlfn.ANCHORARRAY(config!$U$5),_xlfn.ANCHORARRAY(config!$V$5),FALSE),
  _xlpm._Indirect, INDIRECT("変換前のテーブル[["&amp;V$1&amp;"]]"),
  _xlpm._Result, IF(_xlpm._HasQuote,"'"&amp;_xlpm._Indirect&amp;"'",_xlpm._Indirect),
  _xlpm._Result
)</f>
        <v>True</v>
      </c>
      <c r="W2" cm="1">
        <f t="array" aca="1" ref="W2:W16" ca="1">_xlfn.LET(_xlpm._HasQuote, _xlfn.XLOOKUP(W$1,_xlfn.ANCHORARRAY(config!$U$5),_xlfn.ANCHORARRAY(config!$V$5),FALSE),
  _xlpm._Indirect, INDIRECT("変換前のテーブル[["&amp;W$1&amp;"]]"),
  _xlpm._Result, IF(_xlpm._HasQuote,"'"&amp;_xlpm._Indirect&amp;"'",_xlpm._Indirect),
  _xlpm._Result
)</f>
        <v>0</v>
      </c>
      <c r="X2" t="str" cm="1">
        <f t="array" aca="1" ref="X2:X16" ca="1">_xlfn.LET(_xlpm._HasQuote, _xlfn.XLOOKUP(X$1,_xlfn.ANCHORARRAY(config!$U$5),_xlfn.ANCHORARRAY(config!$V$5),FALSE),
  _xlpm._Indirect, INDIRECT("変換前のテーブル[["&amp;X$1&amp;"]]"),
  _xlpm._Result, IF(_xlpm._HasQuote,"'"&amp;_xlpm._Indirect&amp;"'",_xlpm._Indirect),
  _xlpm._Result
)</f>
        <v>'ID'</v>
      </c>
      <c r="Y2" cm="1">
        <f t="array" aca="1" ref="Y2:Y16" ca="1">_xlfn.LET(_xlpm._HasQuote, _xlfn.XLOOKUP(Y$1,_xlfn.ANCHORARRAY(config!$U$5),_xlfn.ANCHORARRAY(config!$V$5),FALSE),
  _xlpm._Indirect, INDIRECT("変換前のテーブル[["&amp;Y$1&amp;"]]"),
  _xlpm._Result, IF(_xlpm._HasQuote,"'"&amp;_xlpm._Indirect&amp;"'",_xlpm._Indirect),
  _xlpm._Result
)</f>
        <v>0</v>
      </c>
      <c r="Z2" cm="1">
        <f t="array" aca="1" ref="Z2:Z16" ca="1">_xlfn.LET(_xlpm._HasQuote, _xlfn.XLOOKUP(Z$1,_xlfn.ANCHORARRAY(config!$U$5),_xlfn.ANCHORARRAY(config!$V$5),FALSE),
  _xlpm._Indirect, INDIRECT("変換前のテーブル[["&amp;Z$1&amp;"]]"),
  _xlpm._Result, IF(_xlpm._HasQuote,"'"&amp;_xlpm._Indirect&amp;"'",_xlpm._Indirect),
  _xlpm._Result
)</f>
        <v>0</v>
      </c>
      <c r="AA2" cm="1">
        <f t="array" aca="1" ref="AA2:AA16" ca="1">_xlfn.LET(_xlpm._HasQuote, _xlfn.XLOOKUP(AA$1,_xlfn.ANCHORARRAY(config!$U$5),_xlfn.ANCHORARRAY(config!$V$5),FALSE),
  _xlpm._Indirect, INDIRECT("変換前のテーブル[["&amp;AA$1&amp;"]]"),
  _xlpm._Result, IF(_xlpm._HasQuote,"'"&amp;_xlpm._Indirect&amp;"'",_xlpm._Indirect),
  _xlpm._Result
)</f>
        <v>0</v>
      </c>
      <c r="AB2" cm="1">
        <f t="array" aca="1" ref="AB2:AB16" ca="1">_xlfn.LET(_xlpm._HasQuote, _xlfn.XLOOKUP(AB$1,_xlfn.ANCHORARRAY(config!$U$5),_xlfn.ANCHORARRAY(config!$V$5),FALSE),
  _xlpm._Indirect, INDIRECT("変換前のテーブル[["&amp;AB$1&amp;"]]"),
  _xlpm._Result, IF(_xlpm._HasQuote,"'"&amp;_xlpm._Indirect&amp;"'",_xlpm._Indirect),
  _xlpm._Result
)</f>
        <v>10</v>
      </c>
      <c r="AC2" cm="1">
        <f t="array" aca="1" ref="AC2:AC16" ca="1">_xlfn.LET(_xlpm._HasQuote, _xlfn.XLOOKUP(AC$1,_xlfn.ANCHORARRAY(config!$U$5),_xlfn.ANCHORARRAY(config!$V$5),FALSE),
  _xlpm._Indirect, INDIRECT("変換前のテーブル[["&amp;AC$1&amp;"]]"),
  _xlpm._Result, IF(_xlpm._HasQuote,"'"&amp;_xlpm._Indirect&amp;"'",_xlpm._Indirect),
  _xlpm._Result
)</f>
        <v>0</v>
      </c>
      <c r="AD2" t="str" cm="1">
        <f t="array" aca="1" ref="AD2:AD16" ca="1">_xlfn.LET(_xlpm._HasQuote, _xlfn.XLOOKUP(AD$1,_xlfn.ANCHORARRAY(config!$U$5),_xlfn.ANCHORARRAY(config!$V$5),FALSE),
  _xlpm._Indirect, INDIRECT("変換前のテーブル[["&amp;AD$1&amp;"]]"),
  _xlpm._Result, IF(_xlpm._HasQuote,"'"&amp;_xlpm._Indirect&amp;"'",_xlpm._Indirect),
  _xlpm._Result
)</f>
        <v>''</v>
      </c>
      <c r="AE2" cm="1">
        <f t="array" aca="1" ref="AE2:AE16" ca="1">_xlfn.LET(_xlpm._HasQuote, _xlfn.XLOOKUP(AE$1,_xlfn.ANCHORARRAY(config!$U$5),_xlfn.ANCHORARRAY(config!$V$5),FALSE),
  _xlpm._Indirect, INDIRECT("変換前のテーブル[["&amp;AE$1&amp;"]]"),
  _xlpm._Result, IF(_xlpm._HasQuote,"'"&amp;_xlpm._Indirect&amp;"'",_xlpm._Indirect),
  _xlpm._Result
)</f>
        <v>0</v>
      </c>
      <c r="AF2" t="e" cm="1">
        <f t="array" aca="1" ref="AF2" ca="1">_xlfn.LET(_xlpm._HasQuote, _xlfn.XLOOKUP(AF$1,_xlfn.ANCHORARRAY(config!$U$5),_xlfn.ANCHORARRAY(config!$V$5),FALSE),
  _xlpm._Indirect, INDIRECT("変換前のテーブル[["&amp;AF$1&amp;"]]"),
  _xlpm._Result, IF(_xlpm._HasQuote,"'"&amp;_xlpm._Indirect&amp;"'",_xlpm._Indirect),
  _xlpm._Result
)</f>
        <v>#REF!</v>
      </c>
      <c r="AG2" t="e" cm="1">
        <f t="array" aca="1" ref="AG2" ca="1">_xlfn.LET(_xlpm._HasQuote, _xlfn.XLOOKUP(AG$1,_xlfn.ANCHORARRAY(config!$U$5),_xlfn.ANCHORARRAY(config!$V$5),FALSE),
  _xlpm._Indirect, INDIRECT("変換前のテーブル[["&amp;AG$1&amp;"]]"),
  _xlpm._Result, IF(_xlpm._HasQuote,"'"&amp;_xlpm._Indirect&amp;"'",_xlpm._Indirect),
  _xlpm._Result
)</f>
        <v>#REF!</v>
      </c>
      <c r="AH2" t="e" cm="1">
        <f t="array" aca="1" ref="AH2" ca="1">_xlfn.LET(_xlpm._HasQuote, _xlfn.XLOOKUP(AH$1,_xlfn.ANCHORARRAY(config!$U$5),_xlfn.ANCHORARRAY(config!$V$5),FALSE),
  _xlpm._Indirect, INDIRECT("変換前のテーブル[["&amp;AH$1&amp;"]]"),
  _xlpm._Result, IF(_xlpm._HasQuote,"'"&amp;_xlpm._Indirect&amp;"'",_xlpm._Indirect),
  _xlpm._Result
)</f>
        <v>#REF!</v>
      </c>
      <c r="AI2" t="e" cm="1">
        <f t="array" aca="1" ref="AI2" ca="1">_xlfn.LET(_xlpm._HasQuote, _xlfn.XLOOKUP(AI$1,_xlfn.ANCHORARRAY(config!$U$5),_xlfn.ANCHORARRAY(config!$V$5),FALSE),
  _xlpm._Indirect, INDIRECT("変換前のテーブル[["&amp;AI$1&amp;"]]"),
  _xlpm._Result, IF(_xlpm._HasQuote,"'"&amp;_xlpm._Indirect&amp;"'",_xlpm._Indirect),
  _xlpm._Result
)</f>
        <v>#REF!</v>
      </c>
      <c r="AJ2" t="e" cm="1">
        <f t="array" aca="1" ref="AJ2" ca="1">_xlfn.LET(_xlpm._HasQuote, _xlfn.XLOOKUP(AJ$1,_xlfn.ANCHORARRAY(config!$U$5),_xlfn.ANCHORARRAY(config!$V$5),FALSE),
  _xlpm._Indirect, INDIRECT("変換前のテーブル[["&amp;AJ$1&amp;"]]"),
  _xlpm._Result, IF(_xlpm._HasQuote,"'"&amp;_xlpm._Indirect&amp;"'",_xlpm._Indirect),
  _xlpm._Result
)</f>
        <v>#REF!</v>
      </c>
      <c r="AK2" t="e" cm="1">
        <f t="array" aca="1" ref="AK2" ca="1">_xlfn.LET(_xlpm._HasQuote, _xlfn.XLOOKUP(AK$1,_xlfn.ANCHORARRAY(config!$U$5),_xlfn.ANCHORARRAY(config!$V$5),FALSE),
  _xlpm._Indirect, INDIRECT("変換前のテーブル[["&amp;AK$1&amp;"]]"),
  _xlpm._Result, IF(_xlpm._HasQuote,"'"&amp;_xlpm._Indirect&amp;"'",_xlpm._Indirect),
  _xlpm._Result
)</f>
        <v>#REF!</v>
      </c>
      <c r="AL2" t="e" cm="1">
        <f t="array" aca="1" ref="AL2" ca="1">_xlfn.LET(_xlpm._HasQuote, _xlfn.XLOOKUP(AL$1,_xlfn.ANCHORARRAY(config!$U$5),_xlfn.ANCHORARRAY(config!$V$5),FALSE),
  _xlpm._Indirect, INDIRECT("変換前のテーブル[["&amp;AL$1&amp;"]]"),
  _xlpm._Result, IF(_xlpm._HasQuote,"'"&amp;_xlpm._Indirect&amp;"'",_xlpm._Indirect),
  _xlpm._Result
)</f>
        <v>#REF!</v>
      </c>
      <c r="AM2" t="e" cm="1">
        <f t="array" aca="1" ref="AM2" ca="1">_xlfn.LET(_xlpm._HasQuote, _xlfn.XLOOKUP(AM$1,_xlfn.ANCHORARRAY(config!$U$5),_xlfn.ANCHORARRAY(config!$V$5),FALSE),
  _xlpm._Indirect, INDIRECT("変換前のテーブル[["&amp;AM$1&amp;"]]"),
  _xlpm._Result, IF(_xlpm._HasQuote,"'"&amp;_xlpm._Indirect&amp;"'",_xlpm._Indirect),
  _xlpm._Result
)</f>
        <v>#REF!</v>
      </c>
    </row>
    <row r="3" spans="1:39">
      <c r="A3">
        <f ca="1"/>
        <v>1</v>
      </c>
      <c r="B3" t="str">
        <f ca="1"/>
        <v>'登録情報:'</v>
      </c>
      <c r="C3" t="str">
        <f ca="1"/>
        <v>'hankaku-eisu-kuromaru'</v>
      </c>
      <c r="D3" t="str">
        <f ca="1"/>
        <v>'label_1_'</v>
      </c>
      <c r="E3" t="str">
        <f ca="1"/>
        <v>'lineEdit_1_'</v>
      </c>
      <c r="F3">
        <f ca="1"/>
        <v>0</v>
      </c>
      <c r="G3" t="str">
        <f ca="1"/>
        <v>''</v>
      </c>
      <c r="H3" t="str">
        <f ca="1"/>
        <v>'en'</v>
      </c>
      <c r="I3" t="str">
        <f ca="1"/>
        <v>'null'</v>
      </c>
      <c r="J3" t="str">
        <f ca="1"/>
        <v>''</v>
      </c>
      <c r="K3" t="str">
        <f ca="1"/>
        <v>''</v>
      </c>
      <c r="L3" t="str">
        <f ca="1"/>
        <v>''</v>
      </c>
      <c r="M3" t="str">
        <f ca="1"/>
        <v>'frame_0_'</v>
      </c>
      <c r="N3" t="str">
        <f ca="1"/>
        <v>''</v>
      </c>
      <c r="O3" t="str">
        <f ca="1"/>
        <v>'frame__1__'</v>
      </c>
      <c r="P3" t="str">
        <f ca="1"/>
        <v>'horizontalLayout_0_'</v>
      </c>
      <c r="Q3" t="str">
        <f ca="1"/>
        <v>''</v>
      </c>
      <c r="R3" t="str">
        <f ca="1"/>
        <v>'horizontalLayout__1__'</v>
      </c>
      <c r="S3" t="str">
        <f ca="1"/>
        <v>''</v>
      </c>
      <c r="T3" t="str">
        <f ca="1"/>
        <v>'登録情報: 変更なし=1 変更あり=2'</v>
      </c>
      <c r="U3" t="str">
        <f ca="1"/>
        <v>False</v>
      </c>
      <c r="V3" t="str">
        <f ca="1"/>
        <v>True</v>
      </c>
      <c r="W3">
        <f ca="1"/>
        <v>0</v>
      </c>
      <c r="X3" t="str">
        <f ca="1"/>
        <v>'登録情報'</v>
      </c>
      <c r="Y3">
        <f ca="1"/>
        <v>0</v>
      </c>
      <c r="Z3">
        <f ca="1"/>
        <v>0</v>
      </c>
      <c r="AA3">
        <f ca="1"/>
        <v>0</v>
      </c>
      <c r="AB3">
        <f ca="1"/>
        <v>0</v>
      </c>
      <c r="AC3">
        <f ca="1"/>
        <v>0</v>
      </c>
      <c r="AD3" t="str">
        <f ca="1"/>
        <v>''</v>
      </c>
      <c r="AE3">
        <f ca="1"/>
        <v>0</v>
      </c>
    </row>
    <row r="4" spans="1:39">
      <c r="A4">
        <f ca="1"/>
        <v>2</v>
      </c>
      <c r="B4" t="str">
        <f ca="1"/>
        <v>'郵便番号:'</v>
      </c>
      <c r="C4" t="str">
        <f ca="1"/>
        <v>'hankaku-eisu-kuromaru'</v>
      </c>
      <c r="D4" t="str">
        <f ca="1"/>
        <v>'label_2_'</v>
      </c>
      <c r="E4" t="str">
        <f ca="1"/>
        <v>'lineEdit_2_'</v>
      </c>
      <c r="F4">
        <f ca="1"/>
        <v>0</v>
      </c>
      <c r="G4" t="str">
        <f ca="1"/>
        <v>''</v>
      </c>
      <c r="H4" t="str">
        <f ca="1"/>
        <v>'en'</v>
      </c>
      <c r="I4" t="str">
        <f ca="1"/>
        <v>'postnum'</v>
      </c>
      <c r="J4" t="str">
        <f ca="1"/>
        <v>'han'</v>
      </c>
      <c r="K4" t="str">
        <f ca="1"/>
        <v>''</v>
      </c>
      <c r="L4" t="str">
        <f ca="1"/>
        <v>''</v>
      </c>
      <c r="M4" t="str">
        <f ca="1"/>
        <v>'frame_0_'</v>
      </c>
      <c r="N4" t="str">
        <f ca="1"/>
        <v>''</v>
      </c>
      <c r="O4" t="str">
        <f ca="1"/>
        <v>'frame__2__'</v>
      </c>
      <c r="P4" t="str">
        <f ca="1"/>
        <v>'horizontalLayout_1_'</v>
      </c>
      <c r="Q4" t="str">
        <f ca="1"/>
        <v>''</v>
      </c>
      <c r="R4" t="str">
        <f ca="1"/>
        <v>'horizontalLayout__2__'</v>
      </c>
      <c r="S4" t="str">
        <f ca="1"/>
        <v>''</v>
      </c>
      <c r="T4" t="str">
        <f ca="1"/>
        <v>'郵便番号: ハイフンなし7桁'</v>
      </c>
      <c r="U4" t="str">
        <f ca="1"/>
        <v>False</v>
      </c>
      <c r="V4" t="str">
        <f ca="1"/>
        <v>True</v>
      </c>
      <c r="W4">
        <f ca="1"/>
        <v>0</v>
      </c>
      <c r="X4" t="str">
        <f ca="1"/>
        <v>'郵便番号'</v>
      </c>
      <c r="Y4">
        <f ca="1"/>
        <v>0</v>
      </c>
      <c r="Z4">
        <f ca="1"/>
        <v>0</v>
      </c>
      <c r="AA4" t="str">
        <f ca="1"/>
        <v>True</v>
      </c>
      <c r="AB4">
        <f ca="1"/>
        <v>0</v>
      </c>
      <c r="AC4">
        <f ca="1"/>
        <v>0</v>
      </c>
      <c r="AD4" t="str">
        <f ca="1"/>
        <v>''</v>
      </c>
      <c r="AE4">
        <f ca="1"/>
        <v>0</v>
      </c>
    </row>
    <row r="5" spans="1:39">
      <c r="A5">
        <f ca="1"/>
        <v>3</v>
      </c>
      <c r="B5" t="str">
        <f ca="1"/>
        <v>'都道府県:'</v>
      </c>
      <c r="C5" t="str">
        <f ca="1"/>
        <v>'str'</v>
      </c>
      <c r="D5" t="str">
        <f ca="1"/>
        <v>'label_3_'</v>
      </c>
      <c r="E5" t="str">
        <f ca="1"/>
        <v>'lineEdit_3_'</v>
      </c>
      <c r="F5">
        <f ca="1"/>
        <v>0</v>
      </c>
      <c r="G5" t="str">
        <f ca="1"/>
        <v>''</v>
      </c>
      <c r="H5" t="str">
        <f ca="1"/>
        <v>'jp'</v>
      </c>
      <c r="I5" t="str">
        <f ca="1"/>
        <v>'pref'</v>
      </c>
      <c r="J5" t="str">
        <f ca="1"/>
        <v>'han-ans'</v>
      </c>
      <c r="K5" t="str">
        <f ca="1"/>
        <v>''</v>
      </c>
      <c r="L5" t="str">
        <f ca="1"/>
        <v>''</v>
      </c>
      <c r="M5" t="str">
        <f ca="1"/>
        <v>'frame_1_'</v>
      </c>
      <c r="N5" t="str">
        <f ca="1"/>
        <v>''</v>
      </c>
      <c r="O5" t="str">
        <f ca="1"/>
        <v>'frame__3__'</v>
      </c>
      <c r="P5" t="str">
        <f ca="1"/>
        <v>'horizontalLayout_1_'</v>
      </c>
      <c r="Q5" t="str">
        <f ca="1"/>
        <v>''</v>
      </c>
      <c r="R5" t="str">
        <f ca="1"/>
        <v>'horizontalLayout__3__'</v>
      </c>
      <c r="S5" t="str">
        <f ca="1"/>
        <v>''</v>
      </c>
      <c r="T5" t="str">
        <f ca="1"/>
        <v>'都道府県: '</v>
      </c>
      <c r="U5" t="str">
        <f ca="1"/>
        <v>False</v>
      </c>
      <c r="V5" t="str">
        <f ca="1"/>
        <v>True</v>
      </c>
      <c r="W5">
        <f ca="1"/>
        <v>0</v>
      </c>
      <c r="X5" t="str">
        <f ca="1"/>
        <v>'都道府県'</v>
      </c>
      <c r="Y5">
        <f ca="1"/>
        <v>0</v>
      </c>
      <c r="Z5">
        <f ca="1"/>
        <v>0</v>
      </c>
      <c r="AA5">
        <f ca="1"/>
        <v>0</v>
      </c>
      <c r="AB5">
        <f ca="1"/>
        <v>0</v>
      </c>
      <c r="AC5">
        <f ca="1"/>
        <v>0</v>
      </c>
      <c r="AD5" t="str">
        <f ca="1"/>
        <v>''</v>
      </c>
      <c r="AE5">
        <f ca="1"/>
        <v>0</v>
      </c>
    </row>
    <row r="6" spans="1:39">
      <c r="A6">
        <f ca="1"/>
        <v>4</v>
      </c>
      <c r="B6" t="str">
        <f ca="1"/>
        <v>'市区町村:'</v>
      </c>
      <c r="C6" t="str">
        <f ca="1"/>
        <v>'str'</v>
      </c>
      <c r="D6" t="str">
        <f ca="1"/>
        <v>'label_4_'</v>
      </c>
      <c r="E6" t="str">
        <f ca="1"/>
        <v>'lineEdit_4_'</v>
      </c>
      <c r="F6">
        <f ca="1"/>
        <v>0</v>
      </c>
      <c r="G6" t="str">
        <f ca="1"/>
        <v>''</v>
      </c>
      <c r="H6" t="str">
        <f ca="1"/>
        <v>'jp'</v>
      </c>
      <c r="I6" t="str">
        <f ca="1"/>
        <v>'city'</v>
      </c>
      <c r="J6" t="str">
        <f ca="1"/>
        <v>'han-ans'</v>
      </c>
      <c r="K6" t="str">
        <f ca="1"/>
        <v>''</v>
      </c>
      <c r="L6" t="str">
        <f ca="1"/>
        <v>''</v>
      </c>
      <c r="M6" t="str">
        <f ca="1"/>
        <v>'frame_1_'</v>
      </c>
      <c r="N6" t="str">
        <f ca="1"/>
        <v>''</v>
      </c>
      <c r="O6" t="str">
        <f ca="1"/>
        <v>'frame__4__'</v>
      </c>
      <c r="P6" t="str">
        <f ca="1"/>
        <v>'horizontalLayout_1_'</v>
      </c>
      <c r="Q6" t="str">
        <f ca="1"/>
        <v>''</v>
      </c>
      <c r="R6" t="str">
        <f ca="1"/>
        <v>'horizontalLayout__4__'</v>
      </c>
      <c r="S6" t="str">
        <f ca="1"/>
        <v>''</v>
      </c>
      <c r="T6" t="str">
        <f ca="1"/>
        <v>'市区町村: '</v>
      </c>
      <c r="U6" t="str">
        <f ca="1"/>
        <v>False</v>
      </c>
      <c r="V6" t="str">
        <f ca="1"/>
        <v>True</v>
      </c>
      <c r="W6">
        <f ca="1"/>
        <v>0</v>
      </c>
      <c r="X6" t="str">
        <f ca="1"/>
        <v>'市区町村'</v>
      </c>
      <c r="Y6">
        <f ca="1"/>
        <v>0</v>
      </c>
      <c r="Z6">
        <f ca="1"/>
        <v>0</v>
      </c>
      <c r="AA6">
        <f ca="1"/>
        <v>0</v>
      </c>
      <c r="AB6">
        <f ca="1"/>
        <v>0</v>
      </c>
      <c r="AC6">
        <f ca="1"/>
        <v>0</v>
      </c>
      <c r="AD6" t="str">
        <f ca="1"/>
        <v>''</v>
      </c>
      <c r="AE6">
        <f ca="1"/>
        <v>0</v>
      </c>
    </row>
    <row r="7" spans="1:39">
      <c r="A7">
        <f ca="1"/>
        <v>5</v>
      </c>
      <c r="B7" t="str">
        <f ca="1"/>
        <v>'町域番地:'</v>
      </c>
      <c r="C7" t="str">
        <f ca="1"/>
        <v>'str'</v>
      </c>
      <c r="D7" t="str">
        <f ca="1"/>
        <v>'label_5_'</v>
      </c>
      <c r="E7" t="str">
        <f ca="1"/>
        <v>'lineEdit_5_'</v>
      </c>
      <c r="F7">
        <f ca="1"/>
        <v>0</v>
      </c>
      <c r="G7" t="str">
        <f ca="1"/>
        <v>''</v>
      </c>
      <c r="H7" t="str">
        <f ca="1"/>
        <v>'jp'</v>
      </c>
      <c r="I7" t="str">
        <f ca="1"/>
        <v>'town'</v>
      </c>
      <c r="J7" t="str">
        <f ca="1"/>
        <v>'han-ans'</v>
      </c>
      <c r="K7" t="str">
        <f ca="1"/>
        <v>''</v>
      </c>
      <c r="L7" t="str">
        <f ca="1"/>
        <v>''</v>
      </c>
      <c r="M7" t="str">
        <f ca="1"/>
        <v>'frame_1_'</v>
      </c>
      <c r="N7" t="str">
        <f ca="1"/>
        <v>''</v>
      </c>
      <c r="O7" t="str">
        <f ca="1"/>
        <v>'frame__5__'</v>
      </c>
      <c r="P7" t="str">
        <f ca="1"/>
        <v>'horizontalLayout_2_'</v>
      </c>
      <c r="Q7" t="str">
        <f ca="1"/>
        <v>''</v>
      </c>
      <c r="R7" t="str">
        <f ca="1"/>
        <v>'horizontalLayout__5__'</v>
      </c>
      <c r="S7" t="str">
        <f ca="1"/>
        <v>''</v>
      </c>
      <c r="T7" t="str">
        <f ca="1"/>
        <v>'町域番地: '</v>
      </c>
      <c r="U7" t="str">
        <f ca="1"/>
        <v>False</v>
      </c>
      <c r="V7" t="str">
        <f ca="1"/>
        <v>True</v>
      </c>
      <c r="W7">
        <f ca="1"/>
        <v>0</v>
      </c>
      <c r="X7" t="str">
        <f ca="1"/>
        <v>'町域番地'</v>
      </c>
      <c r="Y7">
        <f ca="1"/>
        <v>0</v>
      </c>
      <c r="Z7">
        <f ca="1"/>
        <v>0</v>
      </c>
      <c r="AA7">
        <f ca="1"/>
        <v>0</v>
      </c>
      <c r="AB7">
        <f ca="1"/>
        <v>0</v>
      </c>
      <c r="AC7">
        <f ca="1"/>
        <v>0</v>
      </c>
      <c r="AD7" t="str">
        <f ca="1"/>
        <v>''</v>
      </c>
      <c r="AE7">
        <f ca="1"/>
        <v>0</v>
      </c>
    </row>
    <row r="8" spans="1:39">
      <c r="A8">
        <f ca="1"/>
        <v>6</v>
      </c>
      <c r="B8" t="str">
        <f ca="1"/>
        <v>'建物:'</v>
      </c>
      <c r="C8" t="str">
        <f ca="1"/>
        <v>'str'</v>
      </c>
      <c r="D8" t="str">
        <f ca="1"/>
        <v>'label_6_'</v>
      </c>
      <c r="E8" t="str">
        <f ca="1"/>
        <v>'lineEdit_6_'</v>
      </c>
      <c r="F8">
        <f ca="1"/>
        <v>0</v>
      </c>
      <c r="G8" t="str">
        <f ca="1"/>
        <v>''</v>
      </c>
      <c r="H8" t="str">
        <f ca="1"/>
        <v>'jp'</v>
      </c>
      <c r="I8" t="str">
        <f ca="1"/>
        <v>'null'</v>
      </c>
      <c r="J8" t="str">
        <f ca="1"/>
        <v>'han-ans'</v>
      </c>
      <c r="K8" t="str">
        <f ca="1"/>
        <v>''</v>
      </c>
      <c r="L8" t="str">
        <f ca="1"/>
        <v>''</v>
      </c>
      <c r="M8" t="str">
        <f ca="1"/>
        <v>'frame_2_'</v>
      </c>
      <c r="N8" t="str">
        <f ca="1"/>
        <v>''</v>
      </c>
      <c r="O8" t="str">
        <f ca="1"/>
        <v>'frame__6__'</v>
      </c>
      <c r="P8" t="str">
        <f ca="1"/>
        <v>'horizontalLayout_2_'</v>
      </c>
      <c r="Q8" t="str">
        <f ca="1"/>
        <v>''</v>
      </c>
      <c r="R8" t="str">
        <f ca="1"/>
        <v>'horizontalLayout__6__'</v>
      </c>
      <c r="S8" t="str">
        <f ca="1"/>
        <v>''</v>
      </c>
      <c r="T8" t="str">
        <f ca="1"/>
        <v>'建物: '</v>
      </c>
      <c r="U8" t="str">
        <f ca="1"/>
        <v>False</v>
      </c>
      <c r="V8" t="str">
        <f ca="1"/>
        <v>True</v>
      </c>
      <c r="W8">
        <f ca="1"/>
        <v>0</v>
      </c>
      <c r="X8" t="str">
        <f ca="1"/>
        <v>'建物'</v>
      </c>
      <c r="Y8">
        <f ca="1"/>
        <v>0</v>
      </c>
      <c r="Z8">
        <f ca="1"/>
        <v>0</v>
      </c>
      <c r="AA8">
        <f ca="1"/>
        <v>0</v>
      </c>
      <c r="AB8">
        <f ca="1"/>
        <v>0</v>
      </c>
      <c r="AC8">
        <f ca="1"/>
        <v>0</v>
      </c>
      <c r="AD8" t="str">
        <f ca="1"/>
        <v>''</v>
      </c>
      <c r="AE8">
        <f ca="1"/>
        <v>0</v>
      </c>
    </row>
    <row r="9" spans="1:39">
      <c r="A9">
        <f ca="1"/>
        <v>7</v>
      </c>
      <c r="B9" t="str">
        <f ca="1"/>
        <v>'氏名かな:'</v>
      </c>
      <c r="C9" t="str">
        <f ca="1"/>
        <v>'str'</v>
      </c>
      <c r="D9" t="str">
        <f ca="1"/>
        <v>'label_7_'</v>
      </c>
      <c r="E9" t="str">
        <f ca="1"/>
        <v>'lineEdit_7_'</v>
      </c>
      <c r="F9">
        <f ca="1"/>
        <v>0</v>
      </c>
      <c r="G9" t="str">
        <f ca="1"/>
        <v>''</v>
      </c>
      <c r="H9" t="str">
        <f ca="1"/>
        <v>'jp'</v>
      </c>
      <c r="I9" t="str">
        <f ca="1"/>
        <v>'null'</v>
      </c>
      <c r="J9" t="str">
        <f ca="1"/>
        <v>''</v>
      </c>
      <c r="K9" t="str">
        <f ca="1"/>
        <v>''</v>
      </c>
      <c r="L9" t="str">
        <f ca="1"/>
        <v>''</v>
      </c>
      <c r="M9" t="str">
        <f ca="1"/>
        <v>'frame_2_'</v>
      </c>
      <c r="N9" t="str">
        <f ca="1"/>
        <v>''</v>
      </c>
      <c r="O9" t="str">
        <f ca="1"/>
        <v>'frame__7__'</v>
      </c>
      <c r="P9" t="str">
        <f ca="1"/>
        <v>'horizontalLayout_3_'</v>
      </c>
      <c r="Q9" t="str">
        <f ca="1"/>
        <v>''</v>
      </c>
      <c r="R9" t="str">
        <f ca="1"/>
        <v>'horizontalLayout__7__'</v>
      </c>
      <c r="S9" t="str">
        <f ca="1"/>
        <v>''</v>
      </c>
      <c r="T9" t="str">
        <f ca="1"/>
        <v>'氏名かな: ひらがな スペースあり'</v>
      </c>
      <c r="U9" t="str">
        <f ca="1"/>
        <v>False</v>
      </c>
      <c r="V9" t="str">
        <f ca="1"/>
        <v>True</v>
      </c>
      <c r="W9">
        <f ca="1"/>
        <v>0</v>
      </c>
      <c r="X9" t="str">
        <f ca="1"/>
        <v>'氏名かな'</v>
      </c>
      <c r="Y9">
        <f ca="1"/>
        <v>0</v>
      </c>
      <c r="Z9">
        <f ca="1"/>
        <v>0</v>
      </c>
      <c r="AA9" t="str">
        <f ca="1"/>
        <v>True</v>
      </c>
      <c r="AB9">
        <f ca="1"/>
        <v>0</v>
      </c>
      <c r="AC9">
        <f ca="1"/>
        <v>0</v>
      </c>
      <c r="AD9" t="str">
        <f ca="1"/>
        <v>''</v>
      </c>
      <c r="AE9">
        <f ca="1"/>
        <v>0</v>
      </c>
    </row>
    <row r="10" spans="1:39">
      <c r="A10">
        <f ca="1"/>
        <v>8</v>
      </c>
      <c r="B10" t="str">
        <f ca="1"/>
        <v>'氏名:'</v>
      </c>
      <c r="C10" t="str">
        <f ca="1"/>
        <v>'str'</v>
      </c>
      <c r="D10" t="str">
        <f ca="1"/>
        <v>'label_8_'</v>
      </c>
      <c r="E10" t="str">
        <f ca="1"/>
        <v>'lineEdit_8_'</v>
      </c>
      <c r="F10">
        <f ca="1"/>
        <v>0</v>
      </c>
      <c r="G10" t="str">
        <f ca="1"/>
        <v>''</v>
      </c>
      <c r="H10" t="str">
        <f ca="1"/>
        <v>'jp'</v>
      </c>
      <c r="I10" t="str">
        <f ca="1"/>
        <v>'null'</v>
      </c>
      <c r="J10" t="str">
        <f ca="1"/>
        <v>''</v>
      </c>
      <c r="K10" t="str">
        <f ca="1"/>
        <v>''</v>
      </c>
      <c r="L10" t="str">
        <f ca="1"/>
        <v>''</v>
      </c>
      <c r="M10" t="str">
        <f ca="1"/>
        <v>'frame_2_'</v>
      </c>
      <c r="N10" t="str">
        <f ca="1"/>
        <v>''</v>
      </c>
      <c r="O10" t="str">
        <f ca="1"/>
        <v>'frame__8__'</v>
      </c>
      <c r="P10" t="str">
        <f ca="1"/>
        <v>'horizontalLayout_3_'</v>
      </c>
      <c r="Q10" t="str">
        <f ca="1"/>
        <v>''</v>
      </c>
      <c r="R10" t="str">
        <f ca="1"/>
        <v>'horizontalLayout__8__'</v>
      </c>
      <c r="S10" t="str">
        <f ca="1"/>
        <v>''</v>
      </c>
      <c r="T10" t="str">
        <f ca="1"/>
        <v>'氏名: スペースあり'</v>
      </c>
      <c r="U10" t="str">
        <f ca="1"/>
        <v>False</v>
      </c>
      <c r="V10" t="str">
        <f ca="1"/>
        <v>True</v>
      </c>
      <c r="W10">
        <f ca="1"/>
        <v>0</v>
      </c>
      <c r="X10" t="str">
        <f ca="1"/>
        <v>'氏名'</v>
      </c>
      <c r="Y10">
        <f ca="1"/>
        <v>0</v>
      </c>
      <c r="Z10">
        <f ca="1"/>
        <v>0</v>
      </c>
      <c r="AA10">
        <f ca="1"/>
        <v>0</v>
      </c>
      <c r="AB10">
        <f ca="1"/>
        <v>0</v>
      </c>
      <c r="AC10">
        <f ca="1"/>
        <v>0</v>
      </c>
      <c r="AD10" t="str">
        <f ca="1"/>
        <v>''</v>
      </c>
      <c r="AE10">
        <f ca="1"/>
        <v>0</v>
      </c>
    </row>
    <row r="11" spans="1:39">
      <c r="A11">
        <f ca="1"/>
        <v>9</v>
      </c>
      <c r="B11" t="str">
        <f ca="1"/>
        <v>'電話番号:'</v>
      </c>
      <c r="C11" t="str">
        <f ca="1"/>
        <v>'hankaku-eisu-kuromaru_lenrange'</v>
      </c>
      <c r="D11" t="str">
        <f ca="1"/>
        <v>'label_9_'</v>
      </c>
      <c r="E11" t="str">
        <f ca="1"/>
        <v>'lineEdit_9_'</v>
      </c>
      <c r="F11">
        <f ca="1"/>
        <v>0</v>
      </c>
      <c r="G11" t="str">
        <f ca="1"/>
        <v>''</v>
      </c>
      <c r="H11" t="str">
        <f ca="1"/>
        <v>'en'</v>
      </c>
      <c r="I11" t="str">
        <f ca="1"/>
        <v>'null'</v>
      </c>
      <c r="J11" t="str">
        <f ca="1"/>
        <v>'han'</v>
      </c>
      <c r="K11" t="str">
        <f ca="1"/>
        <v>''</v>
      </c>
      <c r="L11" t="str">
        <f ca="1"/>
        <v>''</v>
      </c>
      <c r="M11" t="str">
        <f ca="1"/>
        <v>'frame_3_'</v>
      </c>
      <c r="N11" t="str">
        <f ca="1"/>
        <v>''</v>
      </c>
      <c r="O11" t="str">
        <f ca="1"/>
        <v>'frame__9__'</v>
      </c>
      <c r="P11" t="str">
        <f ca="1"/>
        <v>'horizontalLayout_3_'</v>
      </c>
      <c r="Q11" t="str">
        <f ca="1"/>
        <v>''</v>
      </c>
      <c r="R11" t="str">
        <f ca="1"/>
        <v>'horizontalLayout__9__'</v>
      </c>
      <c r="S11" t="str">
        <f ca="1"/>
        <v>''</v>
      </c>
      <c r="T11" t="str">
        <f ca="1"/>
        <v>'電話番号: ハイフンなし 桁数:10～11'</v>
      </c>
      <c r="U11" t="str">
        <f ca="1"/>
        <v>False</v>
      </c>
      <c r="V11" t="str">
        <f ca="1"/>
        <v>True</v>
      </c>
      <c r="W11">
        <f ca="1"/>
        <v>0</v>
      </c>
      <c r="X11" t="str">
        <f ca="1"/>
        <v>'電話番号'</v>
      </c>
      <c r="Y11">
        <f ca="1"/>
        <v>0</v>
      </c>
      <c r="Z11">
        <f ca="1"/>
        <v>0</v>
      </c>
      <c r="AA11" t="str">
        <f ca="1"/>
        <v>True</v>
      </c>
      <c r="AB11" t="str">
        <f ca="1"/>
        <v>[10, 11]</v>
      </c>
      <c r="AC11">
        <f ca="1"/>
        <v>0</v>
      </c>
      <c r="AD11" t="str">
        <f ca="1"/>
        <v>''</v>
      </c>
      <c r="AE11">
        <f ca="1"/>
        <v>0</v>
      </c>
    </row>
    <row r="12" spans="1:39">
      <c r="A12">
        <f ca="1"/>
        <v>10</v>
      </c>
      <c r="B12" t="str">
        <f ca="1"/>
        <v>'防災カルタ:'</v>
      </c>
      <c r="C12" t="str">
        <f ca="1"/>
        <v>'hankaku-eisu-kuromaru'</v>
      </c>
      <c r="D12" t="str">
        <f ca="1"/>
        <v>'label_10_'</v>
      </c>
      <c r="E12" t="str">
        <f ca="1"/>
        <v>'lineEdit_10_'</v>
      </c>
      <c r="F12">
        <f ca="1"/>
        <v>0</v>
      </c>
      <c r="G12" t="str">
        <f ca="1"/>
        <v>''</v>
      </c>
      <c r="H12" t="str">
        <f ca="1"/>
        <v>'en'</v>
      </c>
      <c r="I12" t="str">
        <f ca="1"/>
        <v>'null'</v>
      </c>
      <c r="J12" t="str">
        <f ca="1"/>
        <v>'han'</v>
      </c>
      <c r="K12" t="str">
        <f ca="1"/>
        <v>''</v>
      </c>
      <c r="L12" t="str">
        <f ca="1"/>
        <v>''</v>
      </c>
      <c r="M12" t="str">
        <f ca="1"/>
        <v>'frame_3_'</v>
      </c>
      <c r="N12" t="str">
        <f ca="1"/>
        <v>''</v>
      </c>
      <c r="O12" t="str">
        <f ca="1"/>
        <v>'frame__10__'</v>
      </c>
      <c r="P12" t="str">
        <f ca="1"/>
        <v>'horizontalLayout_3_'</v>
      </c>
      <c r="Q12" t="str">
        <f ca="1"/>
        <v>''</v>
      </c>
      <c r="R12" t="str">
        <f ca="1"/>
        <v>'horizontalLayout__10__'</v>
      </c>
      <c r="S12" t="str">
        <f ca="1"/>
        <v>''</v>
      </c>
      <c r="T12" t="str">
        <f ca="1"/>
        <v>'防災カルタ: 申し込む=1 不要=2'</v>
      </c>
      <c r="U12" t="str">
        <f ca="1"/>
        <v>False</v>
      </c>
      <c r="V12" t="str">
        <f ca="1"/>
        <v>True</v>
      </c>
      <c r="W12">
        <f ca="1"/>
        <v>0</v>
      </c>
      <c r="X12" t="str">
        <f ca="1"/>
        <v>'防災カルタ'</v>
      </c>
      <c r="Y12">
        <f ca="1"/>
        <v>0</v>
      </c>
      <c r="Z12">
        <f ca="1"/>
        <v>0</v>
      </c>
      <c r="AA12">
        <f ca="1"/>
        <v>0</v>
      </c>
      <c r="AB12">
        <f ca="1"/>
        <v>0</v>
      </c>
      <c r="AC12">
        <f ca="1"/>
        <v>0</v>
      </c>
      <c r="AD12" t="str">
        <f ca="1"/>
        <v>''</v>
      </c>
      <c r="AE12">
        <f ca="1"/>
        <v>0</v>
      </c>
    </row>
    <row r="13" spans="1:39">
      <c r="A13">
        <f ca="1"/>
        <v>11</v>
      </c>
      <c r="B13" t="str">
        <f ca="1"/>
        <v>'404:薬剤式トイレ:'</v>
      </c>
      <c r="C13" t="str">
        <f ca="1"/>
        <v>'hankaku-eisu-kuromaru'</v>
      </c>
      <c r="D13" t="str">
        <f ca="1"/>
        <v>'label_11_'</v>
      </c>
      <c r="E13" t="str">
        <f ca="1"/>
        <v>'lineEdit_11_'</v>
      </c>
      <c r="F13">
        <f ca="1"/>
        <v>0</v>
      </c>
      <c r="G13" t="str">
        <f ca="1"/>
        <v>''</v>
      </c>
      <c r="H13" t="str">
        <f ca="1"/>
        <v>'en'</v>
      </c>
      <c r="I13" t="str">
        <f ca="1"/>
        <v>'null'</v>
      </c>
      <c r="J13" t="str">
        <f ca="1"/>
        <v>'han'</v>
      </c>
      <c r="K13" t="str">
        <f ca="1"/>
        <v>''</v>
      </c>
      <c r="L13" t="str">
        <f ca="1"/>
        <v>''</v>
      </c>
      <c r="M13" t="str">
        <f ca="1"/>
        <v>'frame_3_'</v>
      </c>
      <c r="N13" t="str">
        <f ca="1"/>
        <v>''</v>
      </c>
      <c r="O13" t="str">
        <f ca="1"/>
        <v>'frame__11__'</v>
      </c>
      <c r="P13" t="str">
        <f ca="1"/>
        <v>'horizontalLayout_4_'</v>
      </c>
      <c r="Q13" t="str">
        <f ca="1"/>
        <v>''</v>
      </c>
      <c r="R13" t="str">
        <f ca="1"/>
        <v>'horizontalLayout__11__'</v>
      </c>
      <c r="S13" t="str">
        <f ca="1"/>
        <v>''</v>
      </c>
      <c r="T13" t="str">
        <f ca="1"/>
        <v>'404:薬剤式トイレ: 数量を入力（薬剤式トイレ）'</v>
      </c>
      <c r="U13" t="str">
        <f ca="1"/>
        <v>False</v>
      </c>
      <c r="V13" t="str">
        <f ca="1"/>
        <v>True</v>
      </c>
      <c r="W13">
        <f ca="1"/>
        <v>0</v>
      </c>
      <c r="X13" t="str">
        <f ca="1"/>
        <v>'404:薬剤式トイレ'</v>
      </c>
      <c r="Y13">
        <f ca="1"/>
        <v>0</v>
      </c>
      <c r="Z13">
        <f ca="1"/>
        <v>0</v>
      </c>
      <c r="AA13" t="str">
        <f ca="1"/>
        <v>True</v>
      </c>
      <c r="AB13">
        <f ca="1"/>
        <v>0</v>
      </c>
      <c r="AC13">
        <f ca="1"/>
        <v>0</v>
      </c>
      <c r="AD13" t="str">
        <f ca="1"/>
        <v>''</v>
      </c>
      <c r="AE13">
        <f ca="1"/>
        <v>0</v>
      </c>
    </row>
    <row r="14" spans="1:39">
      <c r="A14">
        <f ca="1"/>
        <v>12</v>
      </c>
      <c r="B14" t="str">
        <f ca="1"/>
        <v>'225:備蓄ランタン:'</v>
      </c>
      <c r="C14" t="str">
        <f ca="1"/>
        <v>'hankaku-eisu-kuromaru'</v>
      </c>
      <c r="D14" t="str">
        <f ca="1"/>
        <v>'label_12_'</v>
      </c>
      <c r="E14" t="str">
        <f ca="1"/>
        <v>'lineEdit_12_'</v>
      </c>
      <c r="F14">
        <f ca="1"/>
        <v>0</v>
      </c>
      <c r="G14" t="str">
        <f ca="1"/>
        <v>''</v>
      </c>
      <c r="H14" t="str">
        <f ca="1"/>
        <v>'en'</v>
      </c>
      <c r="I14" t="str">
        <f ca="1"/>
        <v>'null'</v>
      </c>
      <c r="J14" t="str">
        <f ca="1"/>
        <v>'han'</v>
      </c>
      <c r="K14" t="str">
        <f ca="1"/>
        <v>''</v>
      </c>
      <c r="L14" t="str">
        <f ca="1"/>
        <v>''</v>
      </c>
      <c r="M14" t="str">
        <f ca="1"/>
        <v>'frame_4_'</v>
      </c>
      <c r="N14" t="str">
        <f ca="1"/>
        <v>''</v>
      </c>
      <c r="O14" t="str">
        <f ca="1"/>
        <v>'frame__12__'</v>
      </c>
      <c r="P14" t="str">
        <f ca="1"/>
        <v>'horizontalLayout_4_'</v>
      </c>
      <c r="Q14" t="str">
        <f ca="1"/>
        <v>''</v>
      </c>
      <c r="R14" t="str">
        <f ca="1"/>
        <v>'horizontalLayout__12__'</v>
      </c>
      <c r="S14" t="str">
        <f ca="1"/>
        <v>''</v>
      </c>
      <c r="T14" t="str">
        <f ca="1"/>
        <v>'225:備蓄ランタン: 数量を入力（備蓄ランタン）'</v>
      </c>
      <c r="U14" t="str">
        <f ca="1"/>
        <v>False</v>
      </c>
      <c r="V14" t="str">
        <f ca="1"/>
        <v>True</v>
      </c>
      <c r="W14">
        <f ca="1"/>
        <v>0</v>
      </c>
      <c r="X14" t="str">
        <f ca="1"/>
        <v>'225:備蓄ランタン'</v>
      </c>
      <c r="Y14">
        <f ca="1"/>
        <v>0</v>
      </c>
      <c r="Z14">
        <f ca="1"/>
        <v>0</v>
      </c>
      <c r="AA14">
        <f ca="1"/>
        <v>0</v>
      </c>
      <c r="AB14">
        <f ca="1"/>
        <v>0</v>
      </c>
      <c r="AC14">
        <f ca="1"/>
        <v>0</v>
      </c>
      <c r="AD14" t="str">
        <f ca="1"/>
        <v>''</v>
      </c>
      <c r="AE14">
        <f ca="1"/>
        <v>0</v>
      </c>
    </row>
    <row r="15" spans="1:39">
      <c r="A15">
        <f ca="1"/>
        <v>13</v>
      </c>
      <c r="B15" t="str">
        <f ca="1"/>
        <v>'512:彩り主食:'</v>
      </c>
      <c r="C15" t="str">
        <f ca="1"/>
        <v>'hankaku-eisu-kuromaru'</v>
      </c>
      <c r="D15" t="str">
        <f ca="1"/>
        <v>'label_13_'</v>
      </c>
      <c r="E15" t="str">
        <f ca="1"/>
        <v>'lineEdit_13_'</v>
      </c>
      <c r="F15">
        <f ca="1"/>
        <v>0</v>
      </c>
      <c r="G15" t="str">
        <f ca="1"/>
        <v>''</v>
      </c>
      <c r="H15" t="str">
        <f ca="1"/>
        <v>'en'</v>
      </c>
      <c r="I15" t="str">
        <f ca="1"/>
        <v>'null'</v>
      </c>
      <c r="J15" t="str">
        <f ca="1"/>
        <v>'han'</v>
      </c>
      <c r="K15" t="str">
        <f ca="1"/>
        <v>''</v>
      </c>
      <c r="L15" t="str">
        <f ca="1"/>
        <v>''</v>
      </c>
      <c r="M15" t="str">
        <f ca="1"/>
        <v>'frame_4_'</v>
      </c>
      <c r="N15" t="str">
        <f ca="1"/>
        <v>''</v>
      </c>
      <c r="O15" t="str">
        <f ca="1"/>
        <v>'frame__13__'</v>
      </c>
      <c r="P15" t="str">
        <f ca="1"/>
        <v>'horizontalLayout_4_'</v>
      </c>
      <c r="Q15" t="str">
        <f ca="1"/>
        <v>''</v>
      </c>
      <c r="R15" t="str">
        <f ca="1"/>
        <v>'horizontalLayout__13__'</v>
      </c>
      <c r="S15" t="str">
        <f ca="1"/>
        <v>''</v>
      </c>
      <c r="T15" t="str">
        <f ca="1"/>
        <v>'512:彩り主食: 数量を入力（彩り主食）'</v>
      </c>
      <c r="U15" t="str">
        <f ca="1"/>
        <v>False</v>
      </c>
      <c r="V15" t="str">
        <f ca="1"/>
        <v>True</v>
      </c>
      <c r="W15">
        <f ca="1"/>
        <v>0</v>
      </c>
      <c r="X15" t="str">
        <f ca="1"/>
        <v>'512:彩り主食'</v>
      </c>
      <c r="Y15">
        <f ca="1"/>
        <v>0</v>
      </c>
      <c r="Z15">
        <f ca="1"/>
        <v>0</v>
      </c>
      <c r="AA15">
        <f ca="1"/>
        <v>0</v>
      </c>
      <c r="AB15">
        <f ca="1"/>
        <v>0</v>
      </c>
      <c r="AC15">
        <f ca="1"/>
        <v>0</v>
      </c>
      <c r="AD15" t="str">
        <f ca="1"/>
        <v>''</v>
      </c>
      <c r="AE15">
        <f ca="1"/>
        <v>0</v>
      </c>
    </row>
    <row r="16" spans="1:39">
      <c r="A16">
        <f ca="1"/>
        <v>14</v>
      </c>
      <c r="B16" t="str">
        <f ca="1"/>
        <v>'411&amp;415:全身きれい:'</v>
      </c>
      <c r="C16" t="str">
        <f ca="1"/>
        <v>'hankaku-eisu-kuromaru'</v>
      </c>
      <c r="D16" t="str">
        <f ca="1"/>
        <v>'label_14_'</v>
      </c>
      <c r="E16" t="str">
        <f ca="1"/>
        <v>'lineEdit_14_'</v>
      </c>
      <c r="F16">
        <f ca="1"/>
        <v>1</v>
      </c>
      <c r="G16" t="str">
        <f ca="1"/>
        <v>''</v>
      </c>
      <c r="H16" t="str">
        <f ca="1"/>
        <v>'en'</v>
      </c>
      <c r="I16" t="str">
        <f ca="1"/>
        <v>'null'</v>
      </c>
      <c r="J16" t="str">
        <f ca="1"/>
        <v>'han'</v>
      </c>
      <c r="K16" t="str">
        <f ca="1"/>
        <v>''</v>
      </c>
      <c r="L16" t="str">
        <f ca="1"/>
        <v>''</v>
      </c>
      <c r="M16" t="str">
        <f ca="1"/>
        <v>'frame_4_'</v>
      </c>
      <c r="N16" t="str">
        <f ca="1"/>
        <v>''</v>
      </c>
      <c r="O16" t="str">
        <f ca="1"/>
        <v>'frame__14__'</v>
      </c>
      <c r="P16" t="str">
        <f ca="1"/>
        <v>'horizontalLayout_4_'</v>
      </c>
      <c r="Q16" t="str">
        <f ca="1"/>
        <v>''</v>
      </c>
      <c r="R16" t="str">
        <f ca="1"/>
        <v>'horizontalLayout__14__'</v>
      </c>
      <c r="S16" t="str">
        <f ca="1"/>
        <v>''</v>
      </c>
      <c r="T16" t="str">
        <f ca="1"/>
        <v>'411&amp;415:全身きれい: 数量を入力（全身きれい・歯みがき）'</v>
      </c>
      <c r="U16" t="str">
        <f ca="1"/>
        <v>False</v>
      </c>
      <c r="V16" t="str">
        <f ca="1"/>
        <v>True</v>
      </c>
      <c r="W16">
        <f ca="1"/>
        <v>0</v>
      </c>
      <c r="X16" t="str">
        <f ca="1"/>
        <v>'411&amp;415:全身きれい'</v>
      </c>
      <c r="Y16">
        <f ca="1"/>
        <v>0</v>
      </c>
      <c r="Z16">
        <f ca="1"/>
        <v>0</v>
      </c>
      <c r="AA16">
        <f ca="1"/>
        <v>0</v>
      </c>
      <c r="AB16">
        <f ca="1"/>
        <v>0</v>
      </c>
      <c r="AC16">
        <f ca="1"/>
        <v>0</v>
      </c>
      <c r="AD16" t="str">
        <f ca="1"/>
        <v>''</v>
      </c>
      <c r="AE16">
        <f ca="1"/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A50-9AD5-47C6-90D6-491CCC92B82E}">
  <sheetPr codeName="Sheet4"/>
  <dimension ref="A2:AE255"/>
  <sheetViews>
    <sheetView topLeftCell="U1" zoomScaleNormal="100" workbookViewId="0">
      <selection activeCell="AE2" sqref="AE2:AE255"/>
    </sheetView>
  </sheetViews>
  <sheetFormatPr defaultRowHeight="18"/>
  <cols>
    <col min="1" max="1" width="10.19921875" bestFit="1" customWidth="1"/>
    <col min="2" max="2" width="37" bestFit="1" customWidth="1"/>
    <col min="3" max="3" width="29.3984375" bestFit="1" customWidth="1"/>
    <col min="4" max="4" width="23.69921875" bestFit="1" customWidth="1"/>
    <col min="5" max="5" width="30.19921875" bestFit="1" customWidth="1"/>
    <col min="6" max="6" width="11.19921875" bestFit="1" customWidth="1"/>
    <col min="7" max="7" width="16.19921875" bestFit="1" customWidth="1"/>
    <col min="8" max="8" width="16.09765625" bestFit="1" customWidth="1"/>
    <col min="9" max="9" width="18.09765625" bestFit="1" customWidth="1"/>
    <col min="10" max="10" width="19.09765625" bestFit="1" customWidth="1"/>
    <col min="11" max="11" width="12.5" bestFit="1" customWidth="1"/>
    <col min="12" max="12" width="15.69921875" bestFit="1" customWidth="1"/>
    <col min="13" max="13" width="28" bestFit="1" customWidth="1"/>
    <col min="14" max="14" width="15.69921875" bestFit="1" customWidth="1"/>
    <col min="15" max="15" width="30.3984375" bestFit="1" customWidth="1"/>
    <col min="16" max="16" width="38.69921875" bestFit="1" customWidth="1"/>
    <col min="17" max="17" width="16.09765625" bestFit="1" customWidth="1"/>
    <col min="18" max="18" width="41.19921875" bestFit="1" customWidth="1"/>
    <col min="19" max="19" width="16.19921875" bestFit="1" customWidth="1"/>
    <col min="20" max="20" width="36.19921875" bestFit="1" customWidth="1"/>
    <col min="21" max="21" width="14.69921875" bestFit="1" customWidth="1"/>
    <col min="22" max="22" width="15.19921875" bestFit="1" customWidth="1"/>
    <col min="23" max="23" width="18" bestFit="1" customWidth="1"/>
    <col min="24" max="24" width="28.3984375" bestFit="1" customWidth="1"/>
    <col min="25" max="25" width="16.5" bestFit="1" customWidth="1"/>
    <col min="26" max="26" width="18.19921875" bestFit="1" customWidth="1"/>
    <col min="27" max="27" width="12.5" bestFit="1" customWidth="1"/>
  </cols>
  <sheetData>
    <row r="2" spans="1:31">
      <c r="A2" s="1" t="str" cm="1">
        <f t="array" aca="1" ref="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0</v>
      </c>
      <c r="B2" s="1" t="str" cm="1">
        <f t="array" aca="1" ref="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'ID:'</v>
      </c>
      <c r="C2" s="1" t="str" cm="1">
        <f t="array" aca="1" ref="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'hankaku-eisu-kuromaru_lenjust'</v>
      </c>
      <c r="D2" s="1" t="str" cm="1">
        <f t="array" aca="1" ref="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'label_0_'</v>
      </c>
      <c r="E2" s="1" t="str" cm="1">
        <f t="array" aca="1" ref="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'lineEdit_0_'</v>
      </c>
      <c r="F2" s="1" t="str" cm="1">
        <f t="array" aca="1" ref="F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-1</v>
      </c>
      <c r="G2" s="1" t="str" cm="1">
        <f t="array" aca="1" ref="G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2" s="1" t="str" cm="1">
        <f t="array" aca="1" ref="H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2" s="1" t="str" cm="1">
        <f t="array" aca="1" ref="I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2" s="1" t="str" cm="1">
        <f t="array" aca="1" ref="J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2" s="1" t="str" cm="1">
        <f t="array" aca="1" ref="K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2" s="1" t="str" cm="1">
        <f t="array" aca="1" ref="L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2" s="1" t="str" cm="1">
        <f t="array" aca="1" ref="M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2" s="1" t="str" cm="1">
        <f t="array" aca="1" ref="N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2" s="1" t="str" cm="1">
        <f t="array" aca="1" ref="O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'frame__0__'</v>
      </c>
      <c r="P2" s="1" t="str" cm="1">
        <f t="array" aca="1" ref="P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2" s="1" t="str" cm="1">
        <f t="array" aca="1" ref="Q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2" s="1" t="str" cm="1">
        <f t="array" aca="1" ref="R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'horizontalLayout__0__'</v>
      </c>
      <c r="S2" s="1" t="str" cm="1">
        <f t="array" aca="1" ref="S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2" s="1" t="str" cm="1">
        <f t="array" aca="1" ref="T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'ID: 数字10桁'</v>
      </c>
      <c r="U2" s="1" t="str" cm="1">
        <f t="array" aca="1" ref="U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2" s="1" t="str" cm="1">
        <f t="array" aca="1" ref="V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2" s="1" t="str" cm="1">
        <f t="array" aca="1" ref="W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2" s="1" t="str" cm="1">
        <f t="array" aca="1" ref="X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'ID'</v>
      </c>
      <c r="Y2" s="1" t="str" cm="1">
        <f t="array" aca="1" ref="Y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2" s="1" t="str" cm="1">
        <f t="array" aca="1" ref="Z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2" s="1" t="str" cm="1">
        <f t="array" aca="1" ref="AA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2" s="1" t="str" cm="1">
        <f t="array" aca="1" ref="AB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10</v>
      </c>
      <c r="AC2" s="1" t="str" cm="1">
        <f t="array" aca="1" ref="AC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2" s="1" t="str" cm="1">
        <f t="array" aca="1" ref="AD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2" s="1" t="str" cm="1">
        <f t="array" aca="1" ref="AE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3" spans="1:31">
      <c r="A3" s="1" t="str" cm="1">
        <f t="array" aca="1" ref="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</v>
      </c>
      <c r="B3" s="1" t="str" cm="1">
        <f t="array" aca="1" ref="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'登録情報:'</v>
      </c>
      <c r="C3" s="1" t="str" cm="1">
        <f t="array" aca="1" ref="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3" s="1" t="str" cm="1">
        <f t="array" aca="1" ref="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'label_1_'</v>
      </c>
      <c r="E3" s="1" t="str" cm="1">
        <f t="array" aca="1" ref="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'lineEdit_1_'</v>
      </c>
      <c r="F3" s="1" t="str" cm="1">
        <f t="array" aca="1" ref="F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3" s="1" t="str" cm="1">
        <f t="array" aca="1" ref="G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3" s="1" t="str" cm="1">
        <f t="array" aca="1" ref="H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3" s="1" t="str" cm="1">
        <f t="array" aca="1" ref="I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3" s="1" t="str" cm="1">
        <f t="array" aca="1" ref="J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3" s="1" t="str" cm="1">
        <f t="array" aca="1" ref="K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3" s="1" t="str" cm="1">
        <f t="array" aca="1" ref="L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3" s="1" t="str" cm="1">
        <f t="array" aca="1" ref="M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3" s="1" t="str" cm="1">
        <f t="array" aca="1" ref="N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3" s="1" t="str" cm="1">
        <f t="array" aca="1" ref="O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'frame__1__'</v>
      </c>
      <c r="P3" s="1" t="str" cm="1">
        <f t="array" aca="1" ref="P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'horizontalLayout_0_'</v>
      </c>
      <c r="Q3" s="1" t="str" cm="1">
        <f t="array" aca="1" ref="Q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3" s="1" t="str" cm="1">
        <f t="array" aca="1" ref="R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'horizontalLayout__1__'</v>
      </c>
      <c r="S3" s="1" t="str" cm="1">
        <f t="array" aca="1" ref="S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3" s="1" t="str" cm="1">
        <f t="array" aca="1" ref="T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'登録情報: 変更なし=1 変更あり=2'</v>
      </c>
      <c r="U3" s="1" t="str" cm="1">
        <f t="array" aca="1" ref="U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3" s="1" t="str" cm="1">
        <f t="array" aca="1" ref="V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3" s="1" t="str" cm="1">
        <f t="array" aca="1" ref="W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3" s="1" t="str" cm="1">
        <f t="array" aca="1" ref="X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'登録情報'</v>
      </c>
      <c r="Y3" s="1" t="str" cm="1">
        <f t="array" aca="1" ref="Y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3" s="1" t="str" cm="1">
        <f t="array" aca="1" ref="Z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3" s="1" t="str" cm="1">
        <f t="array" aca="1" ref="AA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3" s="1" t="str" cm="1">
        <f t="array" aca="1" ref="AB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3" s="1" t="str" cm="1">
        <f t="array" aca="1" ref="AC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3" s="1" t="str" cm="1">
        <f t="array" aca="1" ref="AD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3" s="1" t="str" cm="1">
        <f t="array" aca="1" ref="AE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4" spans="1:31">
      <c r="A4" s="1" t="str" cm="1">
        <f t="array" aca="1" ref="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2</v>
      </c>
      <c r="B4" s="1" t="str" cm="1">
        <f t="array" aca="1" ref="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'郵便番号:'</v>
      </c>
      <c r="C4" s="1" t="str" cm="1">
        <f t="array" aca="1" ref="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4" s="1" t="str" cm="1">
        <f t="array" aca="1" ref="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'label_2_'</v>
      </c>
      <c r="E4" s="1" t="str" cm="1">
        <f t="array" aca="1" ref="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'lineEdit_2_'</v>
      </c>
      <c r="F4" s="1" t="str" cm="1">
        <f t="array" aca="1" ref="F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4" s="1" t="str" cm="1">
        <f t="array" aca="1" ref="G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4" s="1" t="str" cm="1">
        <f t="array" aca="1" ref="H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4" s="1" t="str" cm="1">
        <f t="array" aca="1" ref="I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'postnum'</v>
      </c>
      <c r="J4" s="1" t="str" cm="1">
        <f t="array" aca="1" ref="J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4" s="1" t="str" cm="1">
        <f t="array" aca="1" ref="K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4" s="1" t="str" cm="1">
        <f t="array" aca="1" ref="L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4" s="1" t="str" cm="1">
        <f t="array" aca="1" ref="M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'frame_0_'</v>
      </c>
      <c r="N4" s="1" t="str" cm="1">
        <f t="array" aca="1" ref="N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4" s="1" t="str" cm="1">
        <f t="array" aca="1" ref="O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'frame__2__'</v>
      </c>
      <c r="P4" s="1" t="str" cm="1">
        <f t="array" aca="1" ref="P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4" s="1" t="str" cm="1">
        <f t="array" aca="1" ref="Q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4" s="1" t="str" cm="1">
        <f t="array" aca="1" ref="R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'horizontalLayout__2__'</v>
      </c>
      <c r="S4" s="1" t="str" cm="1">
        <f t="array" aca="1" ref="S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4" s="1" t="str" cm="1">
        <f t="array" aca="1" ref="T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'郵便番号: ハイフンなし7桁'</v>
      </c>
      <c r="U4" s="1" t="str" cm="1">
        <f t="array" aca="1" ref="U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4" s="1" t="str" cm="1">
        <f t="array" aca="1" ref="V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4" s="1" t="str" cm="1">
        <f t="array" aca="1" ref="W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4" s="1" t="str" cm="1">
        <f t="array" aca="1" ref="X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'郵便番号'</v>
      </c>
      <c r="Y4" s="1" t="str" cm="1">
        <f t="array" aca="1" ref="Y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4" s="1" t="str" cm="1">
        <f t="array" aca="1" ref="Z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4" s="1" t="str" cm="1">
        <f t="array" aca="1" ref="AA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4" s="1" t="str" cm="1">
        <f t="array" aca="1" ref="AB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4" s="1" t="str" cm="1">
        <f t="array" aca="1" ref="AC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4" s="1" t="str" cm="1">
        <f t="array" aca="1" ref="AD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4" s="1" t="str" cm="1">
        <f t="array" aca="1" ref="AE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5" spans="1:31">
      <c r="A5" s="1" t="str" cm="1">
        <f t="array" aca="1" ref="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3</v>
      </c>
      <c r="B5" s="1" t="str" cm="1">
        <f t="array" aca="1" ref="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'都道府県:'</v>
      </c>
      <c r="C5" s="1" t="str" cm="1">
        <f t="array" aca="1" ref="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5" s="1" t="str" cm="1">
        <f t="array" aca="1" ref="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'label_3_'</v>
      </c>
      <c r="E5" s="1" t="str" cm="1">
        <f t="array" aca="1" ref="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'lineEdit_3_'</v>
      </c>
      <c r="F5" s="1" t="str" cm="1">
        <f t="array" aca="1" ref="F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5" s="1" t="str" cm="1">
        <f t="array" aca="1" ref="G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5" s="1" t="str" cm="1">
        <f t="array" aca="1" ref="H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5" s="1" t="str" cm="1">
        <f t="array" aca="1" ref="I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'pref'</v>
      </c>
      <c r="J5" s="1" t="str" cm="1">
        <f t="array" aca="1" ref="J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5" s="1" t="str" cm="1">
        <f t="array" aca="1" ref="K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5" s="1" t="str" cm="1">
        <f t="array" aca="1" ref="L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5" s="1" t="str" cm="1">
        <f t="array" aca="1" ref="M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5" s="1" t="str" cm="1">
        <f t="array" aca="1" ref="N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5" s="1" t="str" cm="1">
        <f t="array" aca="1" ref="O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'frame__3__'</v>
      </c>
      <c r="P5" s="1" t="str" cm="1">
        <f t="array" aca="1" ref="P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5" s="1" t="str" cm="1">
        <f t="array" aca="1" ref="Q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5" s="1" t="str" cm="1">
        <f t="array" aca="1" ref="R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'horizontalLayout__3__'</v>
      </c>
      <c r="S5" s="1" t="str" cm="1">
        <f t="array" aca="1" ref="S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5" s="1" t="str" cm="1">
        <f t="array" aca="1" ref="T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'都道府県: '</v>
      </c>
      <c r="U5" s="1" t="str" cm="1">
        <f t="array" aca="1" ref="U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5" s="1" t="str" cm="1">
        <f t="array" aca="1" ref="V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5" s="1" t="str" cm="1">
        <f t="array" aca="1" ref="W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5" s="1" t="str" cm="1">
        <f t="array" aca="1" ref="X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'都道府県'</v>
      </c>
      <c r="Y5" s="1" t="str" cm="1">
        <f t="array" aca="1" ref="Y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5" s="1" t="str" cm="1">
        <f t="array" aca="1" ref="Z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5" s="1" t="str" cm="1">
        <f t="array" aca="1" ref="AA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5" s="1" t="str" cm="1">
        <f t="array" aca="1" ref="AB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5" s="1" t="str" cm="1">
        <f t="array" aca="1" ref="AC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5" s="1" t="str" cm="1">
        <f t="array" aca="1" ref="AD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5" s="1" t="str" cm="1">
        <f t="array" aca="1" ref="AE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6" spans="1:31">
      <c r="A6" s="1" t="str" cm="1">
        <f t="array" aca="1" ref="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4</v>
      </c>
      <c r="B6" s="1" t="str" cm="1">
        <f t="array" aca="1" ref="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'市区町村:'</v>
      </c>
      <c r="C6" s="1" t="str" cm="1">
        <f t="array" aca="1" ref="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6" s="1" t="str" cm="1">
        <f t="array" aca="1" ref="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'label_4_'</v>
      </c>
      <c r="E6" s="1" t="str" cm="1">
        <f t="array" aca="1" ref="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'lineEdit_4_'</v>
      </c>
      <c r="F6" s="1" t="str" cm="1">
        <f t="array" aca="1" ref="F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6" s="1" t="str" cm="1">
        <f t="array" aca="1" ref="G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6" s="1" t="str" cm="1">
        <f t="array" aca="1" ref="H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6" s="1" t="str" cm="1">
        <f t="array" aca="1" ref="I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'city'</v>
      </c>
      <c r="J6" s="1" t="str" cm="1">
        <f t="array" aca="1" ref="J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6" s="1" t="str" cm="1">
        <f t="array" aca="1" ref="K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6" s="1" t="str" cm="1">
        <f t="array" aca="1" ref="L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6" s="1" t="str" cm="1">
        <f t="array" aca="1" ref="M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6" s="1" t="str" cm="1">
        <f t="array" aca="1" ref="N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6" s="1" t="str" cm="1">
        <f t="array" aca="1" ref="O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'frame__4__'</v>
      </c>
      <c r="P6" s="1" t="str" cm="1">
        <f t="array" aca="1" ref="P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'horizontalLayout_1_'</v>
      </c>
      <c r="Q6" s="1" t="str" cm="1">
        <f t="array" aca="1" ref="Q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6" s="1" t="str" cm="1">
        <f t="array" aca="1" ref="R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'horizontalLayout__4__'</v>
      </c>
      <c r="S6" s="1" t="str" cm="1">
        <f t="array" aca="1" ref="S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6" s="1" t="str" cm="1">
        <f t="array" aca="1" ref="T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'市区町村: '</v>
      </c>
      <c r="U6" s="1" t="str" cm="1">
        <f t="array" aca="1" ref="U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6" s="1" t="str" cm="1">
        <f t="array" aca="1" ref="V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6" s="1" t="str" cm="1">
        <f t="array" aca="1" ref="W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6" s="1" t="str" cm="1">
        <f t="array" aca="1" ref="X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'市区町村'</v>
      </c>
      <c r="Y6" s="1" t="str" cm="1">
        <f t="array" aca="1" ref="Y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6" s="1" t="str" cm="1">
        <f t="array" aca="1" ref="Z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6" s="1" t="str" cm="1">
        <f t="array" aca="1" ref="AA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6" s="1" t="str" cm="1">
        <f t="array" aca="1" ref="AB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6" s="1" t="str" cm="1">
        <f t="array" aca="1" ref="AC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6" s="1" t="str" cm="1">
        <f t="array" aca="1" ref="AD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6" s="1" t="str" cm="1">
        <f t="array" aca="1" ref="AE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7" spans="1:31">
      <c r="A7" s="1" t="str" cm="1">
        <f t="array" aca="1" ref="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5</v>
      </c>
      <c r="B7" s="1" t="str" cm="1">
        <f t="array" aca="1" ref="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'町域番地:'</v>
      </c>
      <c r="C7" s="1" t="str" cm="1">
        <f t="array" aca="1" ref="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7" s="1" t="str" cm="1">
        <f t="array" aca="1" ref="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'label_5_'</v>
      </c>
      <c r="E7" s="1" t="str" cm="1">
        <f t="array" aca="1" ref="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'lineEdit_5_'</v>
      </c>
      <c r="F7" s="1" t="str" cm="1">
        <f t="array" aca="1" ref="F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7" s="1" t="str" cm="1">
        <f t="array" aca="1" ref="G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7" s="1" t="str" cm="1">
        <f t="array" aca="1" ref="H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7" s="1" t="str" cm="1">
        <f t="array" aca="1" ref="I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'town'</v>
      </c>
      <c r="J7" s="1" t="str" cm="1">
        <f t="array" aca="1" ref="J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7" s="1" t="str" cm="1">
        <f t="array" aca="1" ref="K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7" s="1" t="str" cm="1">
        <f t="array" aca="1" ref="L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7" s="1" t="str" cm="1">
        <f t="array" aca="1" ref="M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'frame_1_'</v>
      </c>
      <c r="N7" s="1" t="str" cm="1">
        <f t="array" aca="1" ref="N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7" s="1" t="str" cm="1">
        <f t="array" aca="1" ref="O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'frame__5__'</v>
      </c>
      <c r="P7" s="1" t="str" cm="1">
        <f t="array" aca="1" ref="P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7" s="1" t="str" cm="1">
        <f t="array" aca="1" ref="Q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7" s="1" t="str" cm="1">
        <f t="array" aca="1" ref="R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'horizontalLayout__5__'</v>
      </c>
      <c r="S7" s="1" t="str" cm="1">
        <f t="array" aca="1" ref="S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7" s="1" t="str" cm="1">
        <f t="array" aca="1" ref="T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'町域番地: '</v>
      </c>
      <c r="U7" s="1" t="str" cm="1">
        <f t="array" aca="1" ref="U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7" s="1" t="str" cm="1">
        <f t="array" aca="1" ref="V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7" s="1" t="str" cm="1">
        <f t="array" aca="1" ref="W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7" s="1" t="str" cm="1">
        <f t="array" aca="1" ref="X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'町域番地'</v>
      </c>
      <c r="Y7" s="1" t="str" cm="1">
        <f t="array" aca="1" ref="Y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7" s="1" t="str" cm="1">
        <f t="array" aca="1" ref="Z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7" s="1" t="str" cm="1">
        <f t="array" aca="1" ref="AA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7" s="1" t="str" cm="1">
        <f t="array" aca="1" ref="AB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7" s="1" t="str" cm="1">
        <f t="array" aca="1" ref="AC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7" s="1" t="str" cm="1">
        <f t="array" aca="1" ref="AD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7" s="1" t="str" cm="1">
        <f t="array" aca="1" ref="AE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8" spans="1:31">
      <c r="A8" s="1" t="str" cm="1">
        <f t="array" aca="1" ref="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6</v>
      </c>
      <c r="B8" s="1" t="str" cm="1">
        <f t="array" aca="1" ref="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'建物:'</v>
      </c>
      <c r="C8" s="1" t="str" cm="1">
        <f t="array" aca="1" ref="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8" s="1" t="str" cm="1">
        <f t="array" aca="1" ref="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'label_6_'</v>
      </c>
      <c r="E8" s="1" t="str" cm="1">
        <f t="array" aca="1" ref="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'lineEdit_6_'</v>
      </c>
      <c r="F8" s="1" t="str" cm="1">
        <f t="array" aca="1" ref="F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8" s="1" t="str" cm="1">
        <f t="array" aca="1" ref="G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8" s="1" t="str" cm="1">
        <f t="array" aca="1" ref="H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8" s="1" t="str" cm="1">
        <f t="array" aca="1" ref="I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8" s="1" t="str" cm="1">
        <f t="array" aca="1" ref="J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'han-ans'</v>
      </c>
      <c r="K8" s="1" t="str" cm="1">
        <f t="array" aca="1" ref="K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8" s="1" t="str" cm="1">
        <f t="array" aca="1" ref="L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8" s="1" t="str" cm="1">
        <f t="array" aca="1" ref="M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8" s="1" t="str" cm="1">
        <f t="array" aca="1" ref="N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8" s="1" t="str" cm="1">
        <f t="array" aca="1" ref="O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'frame__6__'</v>
      </c>
      <c r="P8" s="1" t="str" cm="1">
        <f t="array" aca="1" ref="P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'horizontalLayout_2_'</v>
      </c>
      <c r="Q8" s="1" t="str" cm="1">
        <f t="array" aca="1" ref="Q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8" s="1" t="str" cm="1">
        <f t="array" aca="1" ref="R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'horizontalLayout__6__'</v>
      </c>
      <c r="S8" s="1" t="str" cm="1">
        <f t="array" aca="1" ref="S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8" s="1" t="str" cm="1">
        <f t="array" aca="1" ref="T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'建物: '</v>
      </c>
      <c r="U8" s="1" t="str" cm="1">
        <f t="array" aca="1" ref="U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8" s="1" t="str" cm="1">
        <f t="array" aca="1" ref="V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8" s="1" t="str" cm="1">
        <f t="array" aca="1" ref="W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8" s="1" t="str" cm="1">
        <f t="array" aca="1" ref="X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'建物'</v>
      </c>
      <c r="Y8" s="1" t="str" cm="1">
        <f t="array" aca="1" ref="Y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8" s="1" t="str" cm="1">
        <f t="array" aca="1" ref="Z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8" s="1" t="str" cm="1">
        <f t="array" aca="1" ref="AA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8" s="1" t="str" cm="1">
        <f t="array" aca="1" ref="AB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8" s="1" t="str" cm="1">
        <f t="array" aca="1" ref="AC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8" s="1" t="str" cm="1">
        <f t="array" aca="1" ref="AD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8" s="1" t="str" cm="1">
        <f t="array" aca="1" ref="AE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9" spans="1:31">
      <c r="A9" s="1" t="str" cm="1">
        <f t="array" aca="1" ref="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7</v>
      </c>
      <c r="B9" s="1" t="str" cm="1">
        <f t="array" aca="1" ref="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'氏名かな:'</v>
      </c>
      <c r="C9" s="1" t="str" cm="1">
        <f t="array" aca="1" ref="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9" s="1" t="str" cm="1">
        <f t="array" aca="1" ref="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'label_7_'</v>
      </c>
      <c r="E9" s="1" t="str" cm="1">
        <f t="array" aca="1" ref="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'lineEdit_7_'</v>
      </c>
      <c r="F9" s="1" t="str" cm="1">
        <f t="array" aca="1" ref="F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9" s="1" t="str" cm="1">
        <f t="array" aca="1" ref="G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9" s="1" t="str" cm="1">
        <f t="array" aca="1" ref="H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9" s="1" t="str" cm="1">
        <f t="array" aca="1" ref="I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9" s="1" t="str" cm="1">
        <f t="array" aca="1" ref="J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9" s="1" t="str" cm="1">
        <f t="array" aca="1" ref="K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9" s="1" t="str" cm="1">
        <f t="array" aca="1" ref="L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9" s="1" t="str" cm="1">
        <f t="array" aca="1" ref="M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9" s="1" t="str" cm="1">
        <f t="array" aca="1" ref="N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9" s="1" t="str" cm="1">
        <f t="array" aca="1" ref="O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'frame__7__'</v>
      </c>
      <c r="P9" s="1" t="str" cm="1">
        <f t="array" aca="1" ref="P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9" s="1" t="str" cm="1">
        <f t="array" aca="1" ref="Q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9" s="1" t="str" cm="1">
        <f t="array" aca="1" ref="R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'horizontalLayout__7__'</v>
      </c>
      <c r="S9" s="1" t="str" cm="1">
        <f t="array" aca="1" ref="S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9" s="1" t="str" cm="1">
        <f t="array" aca="1" ref="T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'氏名かな: ひらがな スペースあり'</v>
      </c>
      <c r="U9" s="1" t="str" cm="1">
        <f t="array" aca="1" ref="U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9" s="1" t="str" cm="1">
        <f t="array" aca="1" ref="V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9" s="1" t="str" cm="1">
        <f t="array" aca="1" ref="W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9" s="1" t="str" cm="1">
        <f t="array" aca="1" ref="X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'氏名かな'</v>
      </c>
      <c r="Y9" s="1" t="str" cm="1">
        <f t="array" aca="1" ref="Y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9" s="1" t="str" cm="1">
        <f t="array" aca="1" ref="Z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9" s="1" t="str" cm="1">
        <f t="array" aca="1" ref="AA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9" s="1" t="str" cm="1">
        <f t="array" aca="1" ref="AB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9" s="1" t="str" cm="1">
        <f t="array" aca="1" ref="AC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9" s="1" t="str" cm="1">
        <f t="array" aca="1" ref="AD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9" s="1" t="str" cm="1">
        <f t="array" aca="1" ref="AE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0" spans="1:31">
      <c r="A10" s="1" t="str" cm="1">
        <f t="array" aca="1" ref="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8</v>
      </c>
      <c r="B10" s="1" t="str" cm="1">
        <f t="array" aca="1" ref="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'氏名:'</v>
      </c>
      <c r="C10" s="1" t="str" cm="1">
        <f t="array" aca="1" ref="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'str'</v>
      </c>
      <c r="D10" s="1" t="str" cm="1">
        <f t="array" aca="1" ref="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'label_8_'</v>
      </c>
      <c r="E10" s="1" t="str" cm="1">
        <f t="array" aca="1" ref="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'lineEdit_8_'</v>
      </c>
      <c r="F10" s="1" t="str" cm="1">
        <f t="array" aca="1" ref="F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0" s="1" t="str" cm="1">
        <f t="array" aca="1" ref="G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0" s="1" t="str" cm="1">
        <f t="array" aca="1" ref="H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'jp'</v>
      </c>
      <c r="I10" s="1" t="str" cm="1">
        <f t="array" aca="1" ref="I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0" s="1" t="str" cm="1">
        <f t="array" aca="1" ref="J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''</v>
      </c>
      <c r="K10" s="1" t="str" cm="1">
        <f t="array" aca="1" ref="K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0" s="1" t="str" cm="1">
        <f t="array" aca="1" ref="L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0" s="1" t="str" cm="1">
        <f t="array" aca="1" ref="M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'frame_2_'</v>
      </c>
      <c r="N10" s="1" t="str" cm="1">
        <f t="array" aca="1" ref="N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0" s="1" t="str" cm="1">
        <f t="array" aca="1" ref="O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'frame__8__'</v>
      </c>
      <c r="P10" s="1" t="str" cm="1">
        <f t="array" aca="1" ref="P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0" s="1" t="str" cm="1">
        <f t="array" aca="1" ref="Q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0" s="1" t="str" cm="1">
        <f t="array" aca="1" ref="R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'horizontalLayout__8__'</v>
      </c>
      <c r="S10" s="1" t="str" cm="1">
        <f t="array" aca="1" ref="S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0" s="1" t="str" cm="1">
        <f t="array" aca="1" ref="T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'氏名: スペースあり'</v>
      </c>
      <c r="U10" s="1" t="str" cm="1">
        <f t="array" aca="1" ref="U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0" s="1" t="str" cm="1">
        <f t="array" aca="1" ref="V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0" s="1" t="str" cm="1">
        <f t="array" aca="1" ref="W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0" s="1" t="str" cm="1">
        <f t="array" aca="1" ref="X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'氏名'</v>
      </c>
      <c r="Y10" s="1" t="str" cm="1">
        <f t="array" aca="1" ref="Y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0" s="1" t="str" cm="1">
        <f t="array" aca="1" ref="Z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0" s="1" t="str" cm="1">
        <f t="array" aca="1" ref="AA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0" s="1" t="str" cm="1">
        <f t="array" aca="1" ref="AB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0" s="1" t="str" cm="1">
        <f t="array" aca="1" ref="AC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0" s="1" t="str" cm="1">
        <f t="array" aca="1" ref="AD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0" s="1" t="str" cm="1">
        <f t="array" aca="1" ref="AE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1" spans="1:31">
      <c r="A11" s="1" t="str" cm="1">
        <f t="array" aca="1" ref="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9</v>
      </c>
      <c r="B11" s="1" t="str" cm="1">
        <f t="array" aca="1" ref="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'電話番号:'</v>
      </c>
      <c r="C11" s="1" t="str" cm="1">
        <f t="array" aca="1" ref="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'hankaku-eisu-kuromaru_lenrange'</v>
      </c>
      <c r="D11" s="1" t="str" cm="1">
        <f t="array" aca="1" ref="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'label_9_'</v>
      </c>
      <c r="E11" s="1" t="str" cm="1">
        <f t="array" aca="1" ref="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'lineEdit_9_'</v>
      </c>
      <c r="F11" s="1" t="str" cm="1">
        <f t="array" aca="1" ref="F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1" s="1" t="str" cm="1">
        <f t="array" aca="1" ref="G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1" s="1" t="str" cm="1">
        <f t="array" aca="1" ref="H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1" s="1" t="str" cm="1">
        <f t="array" aca="1" ref="I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1" s="1" t="str" cm="1">
        <f t="array" aca="1" ref="J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1" s="1" t="str" cm="1">
        <f t="array" aca="1" ref="K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1" s="1" t="str" cm="1">
        <f t="array" aca="1" ref="L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1" s="1" t="str" cm="1">
        <f t="array" aca="1" ref="M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1" s="1" t="str" cm="1">
        <f t="array" aca="1" ref="N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1" s="1" t="str" cm="1">
        <f t="array" aca="1" ref="O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'frame__9__'</v>
      </c>
      <c r="P11" s="1" t="str" cm="1">
        <f t="array" aca="1" ref="P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1" s="1" t="str" cm="1">
        <f t="array" aca="1" ref="Q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1" s="1" t="str" cm="1">
        <f t="array" aca="1" ref="R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'horizontalLayout__9__'</v>
      </c>
      <c r="S11" s="1" t="str" cm="1">
        <f t="array" aca="1" ref="S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1" s="1" t="str" cm="1">
        <f t="array" aca="1" ref="T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'電話番号: ハイフンなし 桁数:10～11'</v>
      </c>
      <c r="U11" s="1" t="str" cm="1">
        <f t="array" aca="1" ref="U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1" s="1" t="str" cm="1">
        <f t="array" aca="1" ref="V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1" s="1" t="str" cm="1">
        <f t="array" aca="1" ref="W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1" s="1" t="str" cm="1">
        <f t="array" aca="1" ref="X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'電話番号'</v>
      </c>
      <c r="Y11" s="1" t="str" cm="1">
        <f t="array" aca="1" ref="Y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1" s="1" t="str" cm="1">
        <f t="array" aca="1" ref="Z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1" s="1" t="str" cm="1">
        <f t="array" aca="1" ref="AA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11" s="1" t="str" cm="1">
        <f t="array" aca="1" ref="AB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[10, 11]</v>
      </c>
      <c r="AC11" s="1" t="str" cm="1">
        <f t="array" aca="1" ref="AC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1" s="1" t="str" cm="1">
        <f t="array" aca="1" ref="AD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1" s="1" t="str" cm="1">
        <f t="array" aca="1" ref="AE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2" spans="1:31">
      <c r="A12" s="1" t="str" cm="1">
        <f t="array" aca="1" ref="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10</v>
      </c>
      <c r="B12" s="1" t="str" cm="1">
        <f t="array" aca="1" ref="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'防災カルタ:'</v>
      </c>
      <c r="C12" s="1" t="str" cm="1">
        <f t="array" aca="1" ref="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2" s="1" t="str" cm="1">
        <f t="array" aca="1" ref="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'label_10_'</v>
      </c>
      <c r="E12" s="1" t="str" cm="1">
        <f t="array" aca="1" ref="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'lineEdit_10_'</v>
      </c>
      <c r="F12" s="1" t="str" cm="1">
        <f t="array" aca="1" ref="F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2" s="1" t="str" cm="1">
        <f t="array" aca="1" ref="G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2" s="1" t="str" cm="1">
        <f t="array" aca="1" ref="H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2" s="1" t="str" cm="1">
        <f t="array" aca="1" ref="I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2" s="1" t="str" cm="1">
        <f t="array" aca="1" ref="J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2" s="1" t="str" cm="1">
        <f t="array" aca="1" ref="K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2" s="1" t="str" cm="1">
        <f t="array" aca="1" ref="L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2" s="1" t="str" cm="1">
        <f t="array" aca="1" ref="M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2" s="1" t="str" cm="1">
        <f t="array" aca="1" ref="N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2" s="1" t="str" cm="1">
        <f t="array" aca="1" ref="O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'frame__10__'</v>
      </c>
      <c r="P12" s="1" t="str" cm="1">
        <f t="array" aca="1" ref="P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'horizontalLayout_3_'</v>
      </c>
      <c r="Q12" s="1" t="str" cm="1">
        <f t="array" aca="1" ref="Q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2" s="1" t="str" cm="1">
        <f t="array" aca="1" ref="R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'horizontalLayout__10__'</v>
      </c>
      <c r="S12" s="1" t="str" cm="1">
        <f t="array" aca="1" ref="S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2" s="1" t="str" cm="1">
        <f t="array" aca="1" ref="T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'防災カルタ: 申し込む=1 不要=2'</v>
      </c>
      <c r="U12" s="1" t="str" cm="1">
        <f t="array" aca="1" ref="U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2" s="1" t="str" cm="1">
        <f t="array" aca="1" ref="V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2" s="1" t="str" cm="1">
        <f t="array" aca="1" ref="W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2" s="1" t="str" cm="1">
        <f t="array" aca="1" ref="X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'防災カルタ'</v>
      </c>
      <c r="Y12" s="1" t="str" cm="1">
        <f t="array" aca="1" ref="Y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2" s="1" t="str" cm="1">
        <f t="array" aca="1" ref="Z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2" s="1" t="str" cm="1">
        <f t="array" aca="1" ref="AA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2" s="1" t="str" cm="1">
        <f t="array" aca="1" ref="AB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2" s="1" t="str" cm="1">
        <f t="array" aca="1" ref="AC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2" s="1" t="str" cm="1">
        <f t="array" aca="1" ref="AD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2" s="1" t="str" cm="1">
        <f t="array" aca="1" ref="AE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3" spans="1:31">
      <c r="A13" s="1" t="str" cm="1">
        <f t="array" aca="1" ref="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11</v>
      </c>
      <c r="B13" s="1" t="str" cm="1">
        <f t="array" aca="1" ref="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'404:薬剤式トイレ:'</v>
      </c>
      <c r="C13" s="1" t="str" cm="1">
        <f t="array" aca="1" ref="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3" s="1" t="str" cm="1">
        <f t="array" aca="1" ref="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'label_11_'</v>
      </c>
      <c r="E13" s="1" t="str" cm="1">
        <f t="array" aca="1" ref="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'lineEdit_11_'</v>
      </c>
      <c r="F13" s="1" t="str" cm="1">
        <f t="array" aca="1" ref="F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3" s="1" t="str" cm="1">
        <f t="array" aca="1" ref="G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3" s="1" t="str" cm="1">
        <f t="array" aca="1" ref="H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3" s="1" t="str" cm="1">
        <f t="array" aca="1" ref="I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3" s="1" t="str" cm="1">
        <f t="array" aca="1" ref="J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3" s="1" t="str" cm="1">
        <f t="array" aca="1" ref="K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3" s="1" t="str" cm="1">
        <f t="array" aca="1" ref="L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3" s="1" t="str" cm="1">
        <f t="array" aca="1" ref="M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'frame_3_'</v>
      </c>
      <c r="N13" s="1" t="str" cm="1">
        <f t="array" aca="1" ref="N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3" s="1" t="str" cm="1">
        <f t="array" aca="1" ref="O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'frame__11__'</v>
      </c>
      <c r="P13" s="1" t="str" cm="1">
        <f t="array" aca="1" ref="P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3" s="1" t="str" cm="1">
        <f t="array" aca="1" ref="Q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3" s="1" t="str" cm="1">
        <f t="array" aca="1" ref="R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'horizontalLayout__11__'</v>
      </c>
      <c r="S13" s="1" t="str" cm="1">
        <f t="array" aca="1" ref="S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3" s="1" t="str" cm="1">
        <f t="array" aca="1" ref="T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'404:薬剤式トイレ: 数量を入力（薬剤式トイレ）'</v>
      </c>
      <c r="U13" s="1" t="str" cm="1">
        <f t="array" aca="1" ref="U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3" s="1" t="str" cm="1">
        <f t="array" aca="1" ref="V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3" s="1" t="str" cm="1">
        <f t="array" aca="1" ref="W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3" s="1" t="str" cm="1">
        <f t="array" aca="1" ref="X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'404:薬剤式トイレ'</v>
      </c>
      <c r="Y13" s="1" t="str" cm="1">
        <f t="array" aca="1" ref="Y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3" s="1" t="str" cm="1">
        <f t="array" aca="1" ref="Z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3" s="1" t="str" cm="1">
        <f t="array" aca="1" ref="AA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True</v>
      </c>
      <c r="AB13" s="1" t="str" cm="1">
        <f t="array" aca="1" ref="AB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3" s="1" t="str" cm="1">
        <f t="array" aca="1" ref="AC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3" s="1" t="str" cm="1">
        <f t="array" aca="1" ref="AD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3" s="1" t="str" cm="1">
        <f t="array" aca="1" ref="AE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4" spans="1:31">
      <c r="A14" s="1" t="str" cm="1">
        <f t="array" aca="1" ref="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12</v>
      </c>
      <c r="B14" s="1" t="str" cm="1">
        <f t="array" aca="1" ref="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'225:備蓄ランタン:'</v>
      </c>
      <c r="C14" s="1" t="str" cm="1">
        <f t="array" aca="1" ref="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4" s="1" t="str" cm="1">
        <f t="array" aca="1" ref="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'label_12_'</v>
      </c>
      <c r="E14" s="1" t="str" cm="1">
        <f t="array" aca="1" ref="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'lineEdit_12_'</v>
      </c>
      <c r="F14" s="1" t="str" cm="1">
        <f t="array" aca="1" ref="F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4" s="1" t="str" cm="1">
        <f t="array" aca="1" ref="G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4" s="1" t="str" cm="1">
        <f t="array" aca="1" ref="H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4" s="1" t="str" cm="1">
        <f t="array" aca="1" ref="I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4" s="1" t="str" cm="1">
        <f t="array" aca="1" ref="J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4" s="1" t="str" cm="1">
        <f t="array" aca="1" ref="K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4" s="1" t="str" cm="1">
        <f t="array" aca="1" ref="L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4" s="1" t="str" cm="1">
        <f t="array" aca="1" ref="M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4" s="1" t="str" cm="1">
        <f t="array" aca="1" ref="N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4" s="1" t="str" cm="1">
        <f t="array" aca="1" ref="O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'frame__12__'</v>
      </c>
      <c r="P14" s="1" t="str" cm="1">
        <f t="array" aca="1" ref="P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4" s="1" t="str" cm="1">
        <f t="array" aca="1" ref="Q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4" s="1" t="str" cm="1">
        <f t="array" aca="1" ref="R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'horizontalLayout__12__'</v>
      </c>
      <c r="S14" s="1" t="str" cm="1">
        <f t="array" aca="1" ref="S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4" s="1" t="str" cm="1">
        <f t="array" aca="1" ref="T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'225:備蓄ランタン: 数量を入力（備蓄ランタン）'</v>
      </c>
      <c r="U14" s="1" t="str" cm="1">
        <f t="array" aca="1" ref="U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4" s="1" t="str" cm="1">
        <f t="array" aca="1" ref="V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4" s="1" t="str" cm="1">
        <f t="array" aca="1" ref="W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4" s="1" t="str" cm="1">
        <f t="array" aca="1" ref="X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'225:備蓄ランタン'</v>
      </c>
      <c r="Y14" s="1" t="str" cm="1">
        <f t="array" aca="1" ref="Y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4" s="1" t="str" cm="1">
        <f t="array" aca="1" ref="Z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4" s="1" t="str" cm="1">
        <f t="array" aca="1" ref="AA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4" s="1" t="str" cm="1">
        <f t="array" aca="1" ref="AB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4" s="1" t="str" cm="1">
        <f t="array" aca="1" ref="AC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4" s="1" t="str" cm="1">
        <f t="array" aca="1" ref="AD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4" s="1" t="str" cm="1">
        <f t="array" aca="1" ref="AE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5" spans="1:31">
      <c r="A15" s="1" t="str" cm="1">
        <f t="array" aca="1" ref="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13</v>
      </c>
      <c r="B15" s="1" t="str" cm="1">
        <f t="array" aca="1" ref="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'512:彩り主食:'</v>
      </c>
      <c r="C15" s="1" t="str" cm="1">
        <f t="array" aca="1" ref="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5" s="1" t="str" cm="1">
        <f t="array" aca="1" ref="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'label_13_'</v>
      </c>
      <c r="E15" s="1" t="str" cm="1">
        <f t="array" aca="1" ref="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'lineEdit_13_'</v>
      </c>
      <c r="F15" s="1" t="str" cm="1">
        <f t="array" aca="1" ref="F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0</v>
      </c>
      <c r="G15" s="1" t="str" cm="1">
        <f t="array" aca="1" ref="G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5" s="1" t="str" cm="1">
        <f t="array" aca="1" ref="H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5" s="1" t="str" cm="1">
        <f t="array" aca="1" ref="I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5" s="1" t="str" cm="1">
        <f t="array" aca="1" ref="J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5" s="1" t="str" cm="1">
        <f t="array" aca="1" ref="K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5" s="1" t="str" cm="1">
        <f t="array" aca="1" ref="L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5" s="1" t="str" cm="1">
        <f t="array" aca="1" ref="M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5" s="1" t="str" cm="1">
        <f t="array" aca="1" ref="N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5" s="1" t="str" cm="1">
        <f t="array" aca="1" ref="O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'frame__13__'</v>
      </c>
      <c r="P15" s="1" t="str" cm="1">
        <f t="array" aca="1" ref="P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5" s="1" t="str" cm="1">
        <f t="array" aca="1" ref="Q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5" s="1" t="str" cm="1">
        <f t="array" aca="1" ref="R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'horizontalLayout__13__'</v>
      </c>
      <c r="S15" s="1" t="str" cm="1">
        <f t="array" aca="1" ref="S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5" s="1" t="str" cm="1">
        <f t="array" aca="1" ref="T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'512:彩り主食: 数量を入力（彩り主食）'</v>
      </c>
      <c r="U15" s="1" t="str" cm="1">
        <f t="array" aca="1" ref="U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5" s="1" t="str" cm="1">
        <f t="array" aca="1" ref="V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5" s="1" t="str" cm="1">
        <f t="array" aca="1" ref="W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5" s="1" t="str" cm="1">
        <f t="array" aca="1" ref="X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'512:彩り主食'</v>
      </c>
      <c r="Y15" s="1" t="str" cm="1">
        <f t="array" aca="1" ref="Y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5" s="1" t="str" cm="1">
        <f t="array" aca="1" ref="Z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5" s="1" t="str" cm="1">
        <f t="array" aca="1" ref="AA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5" s="1" t="str" cm="1">
        <f t="array" aca="1" ref="AB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5" s="1" t="str" cm="1">
        <f t="array" aca="1" ref="AC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5" s="1" t="str" cm="1">
        <f t="array" aca="1" ref="AD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5" s="1" t="str" cm="1">
        <f t="array" aca="1" ref="AE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6" spans="1:31">
      <c r="A16" s="1" t="str" cm="1">
        <f t="array" aca="1" ref="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'index': 14</v>
      </c>
      <c r="B16" s="1" t="str" cm="1">
        <f t="array" aca="1" ref="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'display_name': '411&amp;415:全身きれい:'</v>
      </c>
      <c r="C16" s="1" t="str" cm="1">
        <f t="array" aca="1" ref="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'data_type': 'hankaku-eisu-kuromaru'</v>
      </c>
      <c r="D16" s="1" t="str" cm="1">
        <f t="array" aca="1" ref="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'label_name': 'label_14_'</v>
      </c>
      <c r="E16" s="1" t="str" cm="1">
        <f t="array" aca="1" ref="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'line_edit_name': 'lineEdit_14_'</v>
      </c>
      <c r="F16" s="1" t="str" cm="1">
        <f t="array" aca="1" ref="F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'is_last': 1</v>
      </c>
      <c r="G16" s="1" t="str" cm="1">
        <f t="array" aca="1" ref="G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'line_edit_obj': ''</v>
      </c>
      <c r="H16" s="1" t="str" cm="1">
        <f t="array" aca="1" ref="H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'ime_mode': 'en'</v>
      </c>
      <c r="I16" s="1" t="str" cm="1">
        <f t="array" aca="1" ref="I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'pn_auto_input': 'null'</v>
      </c>
      <c r="J16" s="1" t="str" cm="1">
        <f t="array" aca="1" ref="J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'text_conversion': 'han'</v>
      </c>
      <c r="K16" s="1" t="str" cm="1">
        <f t="array" aca="1" ref="K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'label_obj': ''</v>
      </c>
      <c r="L16" s="1" t="str" cm="1">
        <f t="array" aca="1" ref="L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'frame_a_obj': ''</v>
      </c>
      <c r="M16" s="1" t="str" cm="1">
        <f t="array" aca="1" ref="M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'frame_a_name': 'frame_4_'</v>
      </c>
      <c r="N16" s="1" t="str" cm="1">
        <f t="array" aca="1" ref="N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'frame_b_obj': ''</v>
      </c>
      <c r="O16" s="1" t="str" cm="1">
        <f t="array" aca="1" ref="O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'frame_b_name': 'frame__14__'</v>
      </c>
      <c r="P16" s="1" t="str" cm="1">
        <f t="array" aca="1" ref="P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'layout_a_name': 'horizontalLayout_4_'</v>
      </c>
      <c r="Q16" s="1" t="str" cm="1">
        <f t="array" aca="1" ref="Q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'layout_a_obj': ''</v>
      </c>
      <c r="R16" s="1" t="str" cm="1">
        <f t="array" aca="1" ref="R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'layout_b_name': 'horizontalLayout__14__'</v>
      </c>
      <c r="S16" s="1" t="str" cm="1">
        <f t="array" aca="1" ref="S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'layout_b_obj': ''</v>
      </c>
      <c r="T16" s="1" t="str" cm="1">
        <f t="array" aca="1" ref="T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'info': '411&amp;415:全身きれい: 数量を入力（全身きれい・歯みがき）'</v>
      </c>
      <c r="U16" s="1" t="str" cm="1">
        <f t="array" aca="1" ref="U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'is_rept': False</v>
      </c>
      <c r="V16" s="1" t="str" cm="1">
        <f t="array" aca="1" ref="V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'is_show': True</v>
      </c>
      <c r="W16" s="1" t="str" cm="1">
        <f t="array" aca="1" ref="W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'list_item': 0</v>
      </c>
      <c r="X16" s="1" t="str" cm="1">
        <f t="array" aca="1" ref="X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'name': '411&amp;415:全身きれい'</v>
      </c>
      <c r="Y16" s="1" t="str" cm="1">
        <f t="array" aca="1" ref="Y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'replace_keys': 0</v>
      </c>
      <c r="Z16" s="1" t="str" cm="1">
        <f t="array" aca="1" ref="Z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'replace_values': 0</v>
      </c>
      <c r="AA16" s="1" t="str" cm="1">
        <f t="array" aca="1" ref="AA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'is_b_line_show': 0</v>
      </c>
      <c r="AB16" s="1" t="str" cm="1">
        <f t="array" aca="1" ref="AB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'length': 0</v>
      </c>
      <c r="AC16" s="1" t="str" cm="1">
        <f t="array" aca="1" ref="AC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'min_max': 0</v>
      </c>
      <c r="AD16" s="1" t="str" cm="1">
        <f t="array" aca="1" ref="AD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're': ''</v>
      </c>
      <c r="AE16" s="1" t="str" cm="1">
        <f t="array" aca="1" ref="AE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>'remarks': 0</v>
      </c>
    </row>
    <row r="17" spans="1:31">
      <c r="A17" s="1" t="str" cm="1">
        <f t="array" aca="1" ref="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" s="1" t="str" cm="1">
        <f t="array" aca="1" ref="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" s="1" t="str" cm="1">
        <f t="array" aca="1" ref="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" s="1" t="str" cm="1">
        <f t="array" aca="1" ref="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" s="1" t="str" cm="1">
        <f t="array" aca="1" ref="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" s="1" t="str" cm="1">
        <f t="array" aca="1" ref="F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" s="1" t="str" cm="1">
        <f t="array" aca="1" ref="G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" s="1" t="str" cm="1">
        <f t="array" aca="1" ref="H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" s="1" t="str" cm="1">
        <f t="array" aca="1" ref="I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" s="1" t="str" cm="1">
        <f t="array" aca="1" ref="J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" s="1" t="str" cm="1">
        <f t="array" aca="1" ref="K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" s="1" t="str" cm="1">
        <f t="array" aca="1" ref="L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" s="1" t="str" cm="1">
        <f t="array" aca="1" ref="M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" s="1" t="str" cm="1">
        <f t="array" aca="1" ref="N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" s="1" t="str" cm="1">
        <f t="array" aca="1" ref="O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" s="1" t="str" cm="1">
        <f t="array" aca="1" ref="P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" s="1" t="str" cm="1">
        <f t="array" aca="1" ref="Q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" s="1" t="str" cm="1">
        <f t="array" aca="1" ref="R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" s="1" t="str" cm="1">
        <f t="array" aca="1" ref="S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" s="1" t="str" cm="1">
        <f t="array" aca="1" ref="T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" s="1" t="str" cm="1">
        <f t="array" aca="1" ref="U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" s="1" t="str" cm="1">
        <f t="array" aca="1" ref="V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" s="1" t="str" cm="1">
        <f t="array" aca="1" ref="W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" s="1" t="str" cm="1">
        <f t="array" aca="1" ref="X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" s="1" t="str" cm="1">
        <f t="array" aca="1" ref="Y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" s="1" t="str" cm="1">
        <f t="array" aca="1" ref="Z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" s="1" t="str" cm="1">
        <f t="array" aca="1" ref="AA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" s="1" t="str" cm="1">
        <f t="array" aca="1" ref="AB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" s="1" t="str" cm="1">
        <f t="array" aca="1" ref="AC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" s="1" t="str" cm="1">
        <f t="array" aca="1" ref="AD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" s="1" t="str" cm="1">
        <f t="array" aca="1" ref="AE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" spans="1:31">
      <c r="A18" s="1" t="str" cm="1">
        <f t="array" aca="1" ref="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" s="1" t="str" cm="1">
        <f t="array" aca="1" ref="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" s="1" t="str" cm="1">
        <f t="array" aca="1" ref="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" s="1" t="str" cm="1">
        <f t="array" aca="1" ref="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" s="1" t="str" cm="1">
        <f t="array" aca="1" ref="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" s="1" t="str" cm="1">
        <f t="array" aca="1" ref="F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" s="1" t="str" cm="1">
        <f t="array" aca="1" ref="G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" s="1" t="str" cm="1">
        <f t="array" aca="1" ref="H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" s="1" t="str" cm="1">
        <f t="array" aca="1" ref="I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" s="1" t="str" cm="1">
        <f t="array" aca="1" ref="J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" s="1" t="str" cm="1">
        <f t="array" aca="1" ref="K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" s="1" t="str" cm="1">
        <f t="array" aca="1" ref="L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" s="1" t="str" cm="1">
        <f t="array" aca="1" ref="M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" s="1" t="str" cm="1">
        <f t="array" aca="1" ref="N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" s="1" t="str" cm="1">
        <f t="array" aca="1" ref="O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" s="1" t="str" cm="1">
        <f t="array" aca="1" ref="P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" s="1" t="str" cm="1">
        <f t="array" aca="1" ref="Q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" s="1" t="str" cm="1">
        <f t="array" aca="1" ref="R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" s="1" t="str" cm="1">
        <f t="array" aca="1" ref="S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" s="1" t="str" cm="1">
        <f t="array" aca="1" ref="T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" s="1" t="str" cm="1">
        <f t="array" aca="1" ref="U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" s="1" t="str" cm="1">
        <f t="array" aca="1" ref="V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" s="1" t="str" cm="1">
        <f t="array" aca="1" ref="W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" s="1" t="str" cm="1">
        <f t="array" aca="1" ref="X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" s="1" t="str" cm="1">
        <f t="array" aca="1" ref="Y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" s="1" t="str" cm="1">
        <f t="array" aca="1" ref="Z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" s="1" t="str" cm="1">
        <f t="array" aca="1" ref="AA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" s="1" t="str" cm="1">
        <f t="array" aca="1" ref="AB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" s="1" t="str" cm="1">
        <f t="array" aca="1" ref="AC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" s="1" t="str" cm="1">
        <f t="array" aca="1" ref="AD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" s="1" t="str" cm="1">
        <f t="array" aca="1" ref="AE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" spans="1:31">
      <c r="A19" s="1" t="str" cm="1">
        <f t="array" aca="1" ref="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" s="1" t="str" cm="1">
        <f t="array" aca="1" ref="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" s="1" t="str" cm="1">
        <f t="array" aca="1" ref="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" s="1" t="str" cm="1">
        <f t="array" aca="1" ref="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" s="1" t="str" cm="1">
        <f t="array" aca="1" ref="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" s="1" t="str" cm="1">
        <f t="array" aca="1" ref="F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" s="1" t="str" cm="1">
        <f t="array" aca="1" ref="G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" s="1" t="str" cm="1">
        <f t="array" aca="1" ref="H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" s="1" t="str" cm="1">
        <f t="array" aca="1" ref="I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" s="1" t="str" cm="1">
        <f t="array" aca="1" ref="J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" s="1" t="str" cm="1">
        <f t="array" aca="1" ref="K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" s="1" t="str" cm="1">
        <f t="array" aca="1" ref="L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" s="1" t="str" cm="1">
        <f t="array" aca="1" ref="M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" s="1" t="str" cm="1">
        <f t="array" aca="1" ref="N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" s="1" t="str" cm="1">
        <f t="array" aca="1" ref="O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" s="1" t="str" cm="1">
        <f t="array" aca="1" ref="P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" s="1" t="str" cm="1">
        <f t="array" aca="1" ref="Q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" s="1" t="str" cm="1">
        <f t="array" aca="1" ref="R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" s="1" t="str" cm="1">
        <f t="array" aca="1" ref="S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" s="1" t="str" cm="1">
        <f t="array" aca="1" ref="T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" s="1" t="str" cm="1">
        <f t="array" aca="1" ref="U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" s="1" t="str" cm="1">
        <f t="array" aca="1" ref="V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" s="1" t="str" cm="1">
        <f t="array" aca="1" ref="W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" s="1" t="str" cm="1">
        <f t="array" aca="1" ref="X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" s="1" t="str" cm="1">
        <f t="array" aca="1" ref="Y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" s="1" t="str" cm="1">
        <f t="array" aca="1" ref="Z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" s="1" t="str" cm="1">
        <f t="array" aca="1" ref="AA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" s="1" t="str" cm="1">
        <f t="array" aca="1" ref="AB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" s="1" t="str" cm="1">
        <f t="array" aca="1" ref="AC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" s="1" t="str" cm="1">
        <f t="array" aca="1" ref="AD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" s="1" t="str" cm="1">
        <f t="array" aca="1" ref="AE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" spans="1:31">
      <c r="A20" s="1" t="str" cm="1">
        <f t="array" aca="1" ref="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" s="1" t="str" cm="1">
        <f t="array" aca="1" ref="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" s="1" t="str" cm="1">
        <f t="array" aca="1" ref="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" s="1" t="str" cm="1">
        <f t="array" aca="1" ref="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" s="1" t="str" cm="1">
        <f t="array" aca="1" ref="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" s="1" t="str" cm="1">
        <f t="array" aca="1" ref="F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" s="1" t="str" cm="1">
        <f t="array" aca="1" ref="G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" s="1" t="str" cm="1">
        <f t="array" aca="1" ref="H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" s="1" t="str" cm="1">
        <f t="array" aca="1" ref="I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" s="1" t="str" cm="1">
        <f t="array" aca="1" ref="J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" s="1" t="str" cm="1">
        <f t="array" aca="1" ref="K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" s="1" t="str" cm="1">
        <f t="array" aca="1" ref="L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" s="1" t="str" cm="1">
        <f t="array" aca="1" ref="M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" s="1" t="str" cm="1">
        <f t="array" aca="1" ref="N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" s="1" t="str" cm="1">
        <f t="array" aca="1" ref="O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" s="1" t="str" cm="1">
        <f t="array" aca="1" ref="P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" s="1" t="str" cm="1">
        <f t="array" aca="1" ref="Q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" s="1" t="str" cm="1">
        <f t="array" aca="1" ref="R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" s="1" t="str" cm="1">
        <f t="array" aca="1" ref="S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" s="1" t="str" cm="1">
        <f t="array" aca="1" ref="T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" s="1" t="str" cm="1">
        <f t="array" aca="1" ref="U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" s="1" t="str" cm="1">
        <f t="array" aca="1" ref="V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" s="1" t="str" cm="1">
        <f t="array" aca="1" ref="W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" s="1" t="str" cm="1">
        <f t="array" aca="1" ref="X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" s="1" t="str" cm="1">
        <f t="array" aca="1" ref="Y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" s="1" t="str" cm="1">
        <f t="array" aca="1" ref="Z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" s="1" t="str" cm="1">
        <f t="array" aca="1" ref="AA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" s="1" t="str" cm="1">
        <f t="array" aca="1" ref="AB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" s="1" t="str" cm="1">
        <f t="array" aca="1" ref="AC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" s="1" t="str" cm="1">
        <f t="array" aca="1" ref="AD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" s="1" t="str" cm="1">
        <f t="array" aca="1" ref="AE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" spans="1:31">
      <c r="A21" s="1" t="str" cm="1">
        <f t="array" aca="1" ref="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" s="1" t="str" cm="1">
        <f t="array" aca="1" ref="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" s="1" t="str" cm="1">
        <f t="array" aca="1" ref="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" s="1" t="str" cm="1">
        <f t="array" aca="1" ref="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" s="1" t="str" cm="1">
        <f t="array" aca="1" ref="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" s="1" t="str" cm="1">
        <f t="array" aca="1" ref="F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" s="1" t="str" cm="1">
        <f t="array" aca="1" ref="G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" s="1" t="str" cm="1">
        <f t="array" aca="1" ref="H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" s="1" t="str" cm="1">
        <f t="array" aca="1" ref="I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" s="1" t="str" cm="1">
        <f t="array" aca="1" ref="J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" s="1" t="str" cm="1">
        <f t="array" aca="1" ref="K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" s="1" t="str" cm="1">
        <f t="array" aca="1" ref="L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" s="1" t="str" cm="1">
        <f t="array" aca="1" ref="M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" s="1" t="str" cm="1">
        <f t="array" aca="1" ref="N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" s="1" t="str" cm="1">
        <f t="array" aca="1" ref="O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" s="1" t="str" cm="1">
        <f t="array" aca="1" ref="P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" s="1" t="str" cm="1">
        <f t="array" aca="1" ref="Q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" s="1" t="str" cm="1">
        <f t="array" aca="1" ref="R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" s="1" t="str" cm="1">
        <f t="array" aca="1" ref="S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" s="1" t="str" cm="1">
        <f t="array" aca="1" ref="T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" s="1" t="str" cm="1">
        <f t="array" aca="1" ref="U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" s="1" t="str" cm="1">
        <f t="array" aca="1" ref="V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" s="1" t="str" cm="1">
        <f t="array" aca="1" ref="W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" s="1" t="str" cm="1">
        <f t="array" aca="1" ref="X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" s="1" t="str" cm="1">
        <f t="array" aca="1" ref="Y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" s="1" t="str" cm="1">
        <f t="array" aca="1" ref="Z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" s="1" t="str" cm="1">
        <f t="array" aca="1" ref="AA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" s="1" t="str" cm="1">
        <f t="array" aca="1" ref="AB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" s="1" t="str" cm="1">
        <f t="array" aca="1" ref="AC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" s="1" t="str" cm="1">
        <f t="array" aca="1" ref="AD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" s="1" t="str" cm="1">
        <f t="array" aca="1" ref="AE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" spans="1:31">
      <c r="A22" s="1" t="str" cm="1">
        <f t="array" aca="1" ref="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" s="1" t="str" cm="1">
        <f t="array" aca="1" ref="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" s="1" t="str" cm="1">
        <f t="array" aca="1" ref="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" s="1" t="str" cm="1">
        <f t="array" aca="1" ref="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" s="1" t="str" cm="1">
        <f t="array" aca="1" ref="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" s="1" t="str" cm="1">
        <f t="array" aca="1" ref="F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" s="1" t="str" cm="1">
        <f t="array" aca="1" ref="G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" s="1" t="str" cm="1">
        <f t="array" aca="1" ref="H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" s="1" t="str" cm="1">
        <f t="array" aca="1" ref="I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" s="1" t="str" cm="1">
        <f t="array" aca="1" ref="J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" s="1" t="str" cm="1">
        <f t="array" aca="1" ref="K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" s="1" t="str" cm="1">
        <f t="array" aca="1" ref="L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" s="1" t="str" cm="1">
        <f t="array" aca="1" ref="M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" s="1" t="str" cm="1">
        <f t="array" aca="1" ref="N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" s="1" t="str" cm="1">
        <f t="array" aca="1" ref="O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" s="1" t="str" cm="1">
        <f t="array" aca="1" ref="P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" s="1" t="str" cm="1">
        <f t="array" aca="1" ref="Q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" s="1" t="str" cm="1">
        <f t="array" aca="1" ref="R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" s="1" t="str" cm="1">
        <f t="array" aca="1" ref="S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" s="1" t="str" cm="1">
        <f t="array" aca="1" ref="T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" s="1" t="str" cm="1">
        <f t="array" aca="1" ref="U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" s="1" t="str" cm="1">
        <f t="array" aca="1" ref="V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" s="1" t="str" cm="1">
        <f t="array" aca="1" ref="W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" s="1" t="str" cm="1">
        <f t="array" aca="1" ref="X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" s="1" t="str" cm="1">
        <f t="array" aca="1" ref="Y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" s="1" t="str" cm="1">
        <f t="array" aca="1" ref="Z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" s="1" t="str" cm="1">
        <f t="array" aca="1" ref="AA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" s="1" t="str" cm="1">
        <f t="array" aca="1" ref="AB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" s="1" t="str" cm="1">
        <f t="array" aca="1" ref="AC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" s="1" t="str" cm="1">
        <f t="array" aca="1" ref="AD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" s="1" t="str" cm="1">
        <f t="array" aca="1" ref="AE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" spans="1:31">
      <c r="A23" s="1" t="str" cm="1">
        <f t="array" aca="1" ref="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" s="1" t="str" cm="1">
        <f t="array" aca="1" ref="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" s="1" t="str" cm="1">
        <f t="array" aca="1" ref="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" s="1" t="str" cm="1">
        <f t="array" aca="1" ref="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" s="1" t="str" cm="1">
        <f t="array" aca="1" ref="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" s="1" t="str" cm="1">
        <f t="array" aca="1" ref="F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" s="1" t="str" cm="1">
        <f t="array" aca="1" ref="G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" s="1" t="str" cm="1">
        <f t="array" aca="1" ref="H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" s="1" t="str" cm="1">
        <f t="array" aca="1" ref="I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" s="1" t="str" cm="1">
        <f t="array" aca="1" ref="J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" s="1" t="str" cm="1">
        <f t="array" aca="1" ref="K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" s="1" t="str" cm="1">
        <f t="array" aca="1" ref="L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" s="1" t="str" cm="1">
        <f t="array" aca="1" ref="M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" s="1" t="str" cm="1">
        <f t="array" aca="1" ref="N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" s="1" t="str" cm="1">
        <f t="array" aca="1" ref="O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" s="1" t="str" cm="1">
        <f t="array" aca="1" ref="P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" s="1" t="str" cm="1">
        <f t="array" aca="1" ref="Q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" s="1" t="str" cm="1">
        <f t="array" aca="1" ref="R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" s="1" t="str" cm="1">
        <f t="array" aca="1" ref="S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" s="1" t="str" cm="1">
        <f t="array" aca="1" ref="T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" s="1" t="str" cm="1">
        <f t="array" aca="1" ref="U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" s="1" t="str" cm="1">
        <f t="array" aca="1" ref="V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" s="1" t="str" cm="1">
        <f t="array" aca="1" ref="W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" s="1" t="str" cm="1">
        <f t="array" aca="1" ref="X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" s="1" t="str" cm="1">
        <f t="array" aca="1" ref="Y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" s="1" t="str" cm="1">
        <f t="array" aca="1" ref="Z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" s="1" t="str" cm="1">
        <f t="array" aca="1" ref="AA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" s="1" t="str" cm="1">
        <f t="array" aca="1" ref="AB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" s="1" t="str" cm="1">
        <f t="array" aca="1" ref="AC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" s="1" t="str" cm="1">
        <f t="array" aca="1" ref="AD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" s="1" t="str" cm="1">
        <f t="array" aca="1" ref="AE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" spans="1:31">
      <c r="A24" s="1" t="str" cm="1">
        <f t="array" aca="1" ref="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" s="1" t="str" cm="1">
        <f t="array" aca="1" ref="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" s="1" t="str" cm="1">
        <f t="array" aca="1" ref="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" s="1" t="str" cm="1">
        <f t="array" aca="1" ref="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" s="1" t="str" cm="1">
        <f t="array" aca="1" ref="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" s="1" t="str" cm="1">
        <f t="array" aca="1" ref="F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" s="1" t="str" cm="1">
        <f t="array" aca="1" ref="G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" s="1" t="str" cm="1">
        <f t="array" aca="1" ref="H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" s="1" t="str" cm="1">
        <f t="array" aca="1" ref="I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" s="1" t="str" cm="1">
        <f t="array" aca="1" ref="J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" s="1" t="str" cm="1">
        <f t="array" aca="1" ref="K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" s="1" t="str" cm="1">
        <f t="array" aca="1" ref="L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" s="1" t="str" cm="1">
        <f t="array" aca="1" ref="M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" s="1" t="str" cm="1">
        <f t="array" aca="1" ref="N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" s="1" t="str" cm="1">
        <f t="array" aca="1" ref="O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" s="1" t="str" cm="1">
        <f t="array" aca="1" ref="P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" s="1" t="str" cm="1">
        <f t="array" aca="1" ref="Q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" s="1" t="str" cm="1">
        <f t="array" aca="1" ref="R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" s="1" t="str" cm="1">
        <f t="array" aca="1" ref="S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" s="1" t="str" cm="1">
        <f t="array" aca="1" ref="T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" s="1" t="str" cm="1">
        <f t="array" aca="1" ref="U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" s="1" t="str" cm="1">
        <f t="array" aca="1" ref="V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" s="1" t="str" cm="1">
        <f t="array" aca="1" ref="W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" s="1" t="str" cm="1">
        <f t="array" aca="1" ref="X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" s="1" t="str" cm="1">
        <f t="array" aca="1" ref="Y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" s="1" t="str" cm="1">
        <f t="array" aca="1" ref="Z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" s="1" t="str" cm="1">
        <f t="array" aca="1" ref="AA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" s="1" t="str" cm="1">
        <f t="array" aca="1" ref="AB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" s="1" t="str" cm="1">
        <f t="array" aca="1" ref="AC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" s="1" t="str" cm="1">
        <f t="array" aca="1" ref="AD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" s="1" t="str" cm="1">
        <f t="array" aca="1" ref="AE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" spans="1:31">
      <c r="A25" s="1" t="str" cm="1">
        <f t="array" aca="1" ref="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" s="1" t="str" cm="1">
        <f t="array" aca="1" ref="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" s="1" t="str" cm="1">
        <f t="array" aca="1" ref="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" s="1" t="str" cm="1">
        <f t="array" aca="1" ref="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" s="1" t="str" cm="1">
        <f t="array" aca="1" ref="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" s="1" t="str" cm="1">
        <f t="array" aca="1" ref="F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" s="1" t="str" cm="1">
        <f t="array" aca="1" ref="G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" s="1" t="str" cm="1">
        <f t="array" aca="1" ref="H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" s="1" t="str" cm="1">
        <f t="array" aca="1" ref="I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" s="1" t="str" cm="1">
        <f t="array" aca="1" ref="J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" s="1" t="str" cm="1">
        <f t="array" aca="1" ref="K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" s="1" t="str" cm="1">
        <f t="array" aca="1" ref="L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" s="1" t="str" cm="1">
        <f t="array" aca="1" ref="M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" s="1" t="str" cm="1">
        <f t="array" aca="1" ref="N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" s="1" t="str" cm="1">
        <f t="array" aca="1" ref="O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" s="1" t="str" cm="1">
        <f t="array" aca="1" ref="P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" s="1" t="str" cm="1">
        <f t="array" aca="1" ref="Q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" s="1" t="str" cm="1">
        <f t="array" aca="1" ref="R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" s="1" t="str" cm="1">
        <f t="array" aca="1" ref="S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" s="1" t="str" cm="1">
        <f t="array" aca="1" ref="T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" s="1" t="str" cm="1">
        <f t="array" aca="1" ref="U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" s="1" t="str" cm="1">
        <f t="array" aca="1" ref="V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" s="1" t="str" cm="1">
        <f t="array" aca="1" ref="W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" s="1" t="str" cm="1">
        <f t="array" aca="1" ref="X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" s="1" t="str" cm="1">
        <f t="array" aca="1" ref="Y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" s="1" t="str" cm="1">
        <f t="array" aca="1" ref="Z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" s="1" t="str" cm="1">
        <f t="array" aca="1" ref="AA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" s="1" t="str" cm="1">
        <f t="array" aca="1" ref="AB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" s="1" t="str" cm="1">
        <f t="array" aca="1" ref="AC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" s="1" t="str" cm="1">
        <f t="array" aca="1" ref="AD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" s="1" t="str" cm="1">
        <f t="array" aca="1" ref="AE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6" spans="1:31">
      <c r="A26" s="1" t="str" cm="1">
        <f t="array" aca="1" ref="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6" s="1" t="str" cm="1">
        <f t="array" aca="1" ref="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6" s="1" t="str" cm="1">
        <f t="array" aca="1" ref="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6" s="1" t="str" cm="1">
        <f t="array" aca="1" ref="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6" s="1" t="str" cm="1">
        <f t="array" aca="1" ref="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6" s="1" t="str" cm="1">
        <f t="array" aca="1" ref="F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6" s="1" t="str" cm="1">
        <f t="array" aca="1" ref="G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6" s="1" t="str" cm="1">
        <f t="array" aca="1" ref="H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6" s="1" t="str" cm="1">
        <f t="array" aca="1" ref="I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6" s="1" t="str" cm="1">
        <f t="array" aca="1" ref="J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6" s="1" t="str" cm="1">
        <f t="array" aca="1" ref="K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6" s="1" t="str" cm="1">
        <f t="array" aca="1" ref="L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6" s="1" t="str" cm="1">
        <f t="array" aca="1" ref="M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6" s="1" t="str" cm="1">
        <f t="array" aca="1" ref="N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6" s="1" t="str" cm="1">
        <f t="array" aca="1" ref="O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6" s="1" t="str" cm="1">
        <f t="array" aca="1" ref="P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6" s="1" t="str" cm="1">
        <f t="array" aca="1" ref="Q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6" s="1" t="str" cm="1">
        <f t="array" aca="1" ref="R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6" s="1" t="str" cm="1">
        <f t="array" aca="1" ref="S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6" s="1" t="str" cm="1">
        <f t="array" aca="1" ref="T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6" s="1" t="str" cm="1">
        <f t="array" aca="1" ref="U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6" s="1" t="str" cm="1">
        <f t="array" aca="1" ref="V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6" s="1" t="str" cm="1">
        <f t="array" aca="1" ref="W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6" s="1" t="str" cm="1">
        <f t="array" aca="1" ref="X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6" s="1" t="str" cm="1">
        <f t="array" aca="1" ref="Y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6" s="1" t="str" cm="1">
        <f t="array" aca="1" ref="Z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6" s="1" t="str" cm="1">
        <f t="array" aca="1" ref="AA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6" s="1" t="str" cm="1">
        <f t="array" aca="1" ref="AB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6" s="1" t="str" cm="1">
        <f t="array" aca="1" ref="AC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6" s="1" t="str" cm="1">
        <f t="array" aca="1" ref="AD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6" s="1" t="str" cm="1">
        <f t="array" aca="1" ref="AE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7" spans="1:31">
      <c r="A27" s="1" t="str" cm="1">
        <f t="array" aca="1" ref="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7" s="1" t="str" cm="1">
        <f t="array" aca="1" ref="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7" s="1" t="str" cm="1">
        <f t="array" aca="1" ref="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7" s="1" t="str" cm="1">
        <f t="array" aca="1" ref="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7" s="1" t="str" cm="1">
        <f t="array" aca="1" ref="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7" s="1" t="str" cm="1">
        <f t="array" aca="1" ref="F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7" s="1" t="str" cm="1">
        <f t="array" aca="1" ref="G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7" s="1" t="str" cm="1">
        <f t="array" aca="1" ref="H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7" s="1" t="str" cm="1">
        <f t="array" aca="1" ref="I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7" s="1" t="str" cm="1">
        <f t="array" aca="1" ref="J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7" s="1" t="str" cm="1">
        <f t="array" aca="1" ref="K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7" s="1" t="str" cm="1">
        <f t="array" aca="1" ref="L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7" s="1" t="str" cm="1">
        <f t="array" aca="1" ref="M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7" s="1" t="str" cm="1">
        <f t="array" aca="1" ref="N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7" s="1" t="str" cm="1">
        <f t="array" aca="1" ref="O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7" s="1" t="str" cm="1">
        <f t="array" aca="1" ref="P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7" s="1" t="str" cm="1">
        <f t="array" aca="1" ref="Q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7" s="1" t="str" cm="1">
        <f t="array" aca="1" ref="R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7" s="1" t="str" cm="1">
        <f t="array" aca="1" ref="S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7" s="1" t="str" cm="1">
        <f t="array" aca="1" ref="T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7" s="1" t="str" cm="1">
        <f t="array" aca="1" ref="U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7" s="1" t="str" cm="1">
        <f t="array" aca="1" ref="V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7" s="1" t="str" cm="1">
        <f t="array" aca="1" ref="W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7" s="1" t="str" cm="1">
        <f t="array" aca="1" ref="X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7" s="1" t="str" cm="1">
        <f t="array" aca="1" ref="Y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7" s="1" t="str" cm="1">
        <f t="array" aca="1" ref="Z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7" s="1" t="str" cm="1">
        <f t="array" aca="1" ref="AA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7" s="1" t="str" cm="1">
        <f t="array" aca="1" ref="AB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7" s="1" t="str" cm="1">
        <f t="array" aca="1" ref="AC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7" s="1" t="str" cm="1">
        <f t="array" aca="1" ref="AD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7" s="1" t="str" cm="1">
        <f t="array" aca="1" ref="AE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8" spans="1:31">
      <c r="A28" s="1" t="str" cm="1">
        <f t="array" aca="1" ref="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8" s="1" t="str" cm="1">
        <f t="array" aca="1" ref="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8" s="1" t="str" cm="1">
        <f t="array" aca="1" ref="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8" s="1" t="str" cm="1">
        <f t="array" aca="1" ref="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8" s="1" t="str" cm="1">
        <f t="array" aca="1" ref="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8" s="1" t="str" cm="1">
        <f t="array" aca="1" ref="F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8" s="1" t="str" cm="1">
        <f t="array" aca="1" ref="G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8" s="1" t="str" cm="1">
        <f t="array" aca="1" ref="H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8" s="1" t="str" cm="1">
        <f t="array" aca="1" ref="I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8" s="1" t="str" cm="1">
        <f t="array" aca="1" ref="J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8" s="1" t="str" cm="1">
        <f t="array" aca="1" ref="K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8" s="1" t="str" cm="1">
        <f t="array" aca="1" ref="L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8" s="1" t="str" cm="1">
        <f t="array" aca="1" ref="M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8" s="1" t="str" cm="1">
        <f t="array" aca="1" ref="N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8" s="1" t="str" cm="1">
        <f t="array" aca="1" ref="O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8" s="1" t="str" cm="1">
        <f t="array" aca="1" ref="P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8" s="1" t="str" cm="1">
        <f t="array" aca="1" ref="Q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8" s="1" t="str" cm="1">
        <f t="array" aca="1" ref="R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8" s="1" t="str" cm="1">
        <f t="array" aca="1" ref="S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8" s="1" t="str" cm="1">
        <f t="array" aca="1" ref="T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8" s="1" t="str" cm="1">
        <f t="array" aca="1" ref="U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8" s="1" t="str" cm="1">
        <f t="array" aca="1" ref="V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8" s="1" t="str" cm="1">
        <f t="array" aca="1" ref="W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8" s="1" t="str" cm="1">
        <f t="array" aca="1" ref="X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8" s="1" t="str" cm="1">
        <f t="array" aca="1" ref="Y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8" s="1" t="str" cm="1">
        <f t="array" aca="1" ref="Z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8" s="1" t="str" cm="1">
        <f t="array" aca="1" ref="AA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8" s="1" t="str" cm="1">
        <f t="array" aca="1" ref="AB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8" s="1" t="str" cm="1">
        <f t="array" aca="1" ref="AC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8" s="1" t="str" cm="1">
        <f t="array" aca="1" ref="AD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8" s="1" t="str" cm="1">
        <f t="array" aca="1" ref="AE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9" spans="1:31">
      <c r="A29" s="1" t="str" cm="1">
        <f t="array" aca="1" ref="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9" s="1" t="str" cm="1">
        <f t="array" aca="1" ref="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9" s="1" t="str" cm="1">
        <f t="array" aca="1" ref="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9" s="1" t="str" cm="1">
        <f t="array" aca="1" ref="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9" s="1" t="str" cm="1">
        <f t="array" aca="1" ref="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9" s="1" t="str" cm="1">
        <f t="array" aca="1" ref="F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9" s="1" t="str" cm="1">
        <f t="array" aca="1" ref="G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9" s="1" t="str" cm="1">
        <f t="array" aca="1" ref="H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9" s="1" t="str" cm="1">
        <f t="array" aca="1" ref="I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9" s="1" t="str" cm="1">
        <f t="array" aca="1" ref="J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9" s="1" t="str" cm="1">
        <f t="array" aca="1" ref="K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9" s="1" t="str" cm="1">
        <f t="array" aca="1" ref="L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9" s="1" t="str" cm="1">
        <f t="array" aca="1" ref="M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9" s="1" t="str" cm="1">
        <f t="array" aca="1" ref="N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9" s="1" t="str" cm="1">
        <f t="array" aca="1" ref="O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9" s="1" t="str" cm="1">
        <f t="array" aca="1" ref="P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9" s="1" t="str" cm="1">
        <f t="array" aca="1" ref="Q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9" s="1" t="str" cm="1">
        <f t="array" aca="1" ref="R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9" s="1" t="str" cm="1">
        <f t="array" aca="1" ref="S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9" s="1" t="str" cm="1">
        <f t="array" aca="1" ref="T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9" s="1" t="str" cm="1">
        <f t="array" aca="1" ref="U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9" s="1" t="str" cm="1">
        <f t="array" aca="1" ref="V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9" s="1" t="str" cm="1">
        <f t="array" aca="1" ref="W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9" s="1" t="str" cm="1">
        <f t="array" aca="1" ref="X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9" s="1" t="str" cm="1">
        <f t="array" aca="1" ref="Y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9" s="1" t="str" cm="1">
        <f t="array" aca="1" ref="Z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9" s="1" t="str" cm="1">
        <f t="array" aca="1" ref="AA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9" s="1" t="str" cm="1">
        <f t="array" aca="1" ref="AB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9" s="1" t="str" cm="1">
        <f t="array" aca="1" ref="AC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9" s="1" t="str" cm="1">
        <f t="array" aca="1" ref="AD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9" s="1" t="str" cm="1">
        <f t="array" aca="1" ref="AE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0" spans="1:31">
      <c r="A30" s="1" t="str" cm="1">
        <f t="array" aca="1" ref="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0" s="1" t="str" cm="1">
        <f t="array" aca="1" ref="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0" s="1" t="str" cm="1">
        <f t="array" aca="1" ref="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0" s="1" t="str" cm="1">
        <f t="array" aca="1" ref="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0" s="1" t="str" cm="1">
        <f t="array" aca="1" ref="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0" s="1" t="str" cm="1">
        <f t="array" aca="1" ref="F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0" s="1" t="str" cm="1">
        <f t="array" aca="1" ref="G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0" s="1" t="str" cm="1">
        <f t="array" aca="1" ref="H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0" s="1" t="str" cm="1">
        <f t="array" aca="1" ref="I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0" s="1" t="str" cm="1">
        <f t="array" aca="1" ref="J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0" s="1" t="str" cm="1">
        <f t="array" aca="1" ref="K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0" s="1" t="str" cm="1">
        <f t="array" aca="1" ref="L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0" s="1" t="str" cm="1">
        <f t="array" aca="1" ref="M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0" s="1" t="str" cm="1">
        <f t="array" aca="1" ref="N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0" s="1" t="str" cm="1">
        <f t="array" aca="1" ref="O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0" s="1" t="str" cm="1">
        <f t="array" aca="1" ref="P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0" s="1" t="str" cm="1">
        <f t="array" aca="1" ref="Q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0" s="1" t="str" cm="1">
        <f t="array" aca="1" ref="R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0" s="1" t="str" cm="1">
        <f t="array" aca="1" ref="S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0" s="1" t="str" cm="1">
        <f t="array" aca="1" ref="T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0" s="1" t="str" cm="1">
        <f t="array" aca="1" ref="U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0" s="1" t="str" cm="1">
        <f t="array" aca="1" ref="V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0" s="1" t="str" cm="1">
        <f t="array" aca="1" ref="W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0" s="1" t="str" cm="1">
        <f t="array" aca="1" ref="X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0" s="1" t="str" cm="1">
        <f t="array" aca="1" ref="Y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0" s="1" t="str" cm="1">
        <f t="array" aca="1" ref="Z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0" s="1" t="str" cm="1">
        <f t="array" aca="1" ref="AA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0" s="1" t="str" cm="1">
        <f t="array" aca="1" ref="AB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0" s="1" t="str" cm="1">
        <f t="array" aca="1" ref="AC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0" s="1" t="str" cm="1">
        <f t="array" aca="1" ref="AD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0" s="1" t="str" cm="1">
        <f t="array" aca="1" ref="AE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1" spans="1:31">
      <c r="A31" s="1" t="str" cm="1">
        <f t="array" aca="1" ref="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1" s="1" t="str" cm="1">
        <f t="array" aca="1" ref="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1" s="1" t="str" cm="1">
        <f t="array" aca="1" ref="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1" s="1" t="str" cm="1">
        <f t="array" aca="1" ref="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1" s="1" t="str" cm="1">
        <f t="array" aca="1" ref="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1" s="1" t="str" cm="1">
        <f t="array" aca="1" ref="F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1" s="1" t="str" cm="1">
        <f t="array" aca="1" ref="G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1" s="1" t="str" cm="1">
        <f t="array" aca="1" ref="H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1" s="1" t="str" cm="1">
        <f t="array" aca="1" ref="I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1" s="1" t="str" cm="1">
        <f t="array" aca="1" ref="J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1" s="1" t="str" cm="1">
        <f t="array" aca="1" ref="K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1" s="1" t="str" cm="1">
        <f t="array" aca="1" ref="L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1" s="1" t="str" cm="1">
        <f t="array" aca="1" ref="M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1" s="1" t="str" cm="1">
        <f t="array" aca="1" ref="N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1" s="1" t="str" cm="1">
        <f t="array" aca="1" ref="O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1" s="1" t="str" cm="1">
        <f t="array" aca="1" ref="P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1" s="1" t="str" cm="1">
        <f t="array" aca="1" ref="Q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1" s="1" t="str" cm="1">
        <f t="array" aca="1" ref="R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1" s="1" t="str" cm="1">
        <f t="array" aca="1" ref="S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1" s="1" t="str" cm="1">
        <f t="array" aca="1" ref="T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1" s="1" t="str" cm="1">
        <f t="array" aca="1" ref="U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1" s="1" t="str" cm="1">
        <f t="array" aca="1" ref="V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1" s="1" t="str" cm="1">
        <f t="array" aca="1" ref="W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1" s="1" t="str" cm="1">
        <f t="array" aca="1" ref="X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1" s="1" t="str" cm="1">
        <f t="array" aca="1" ref="Y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1" s="1" t="str" cm="1">
        <f t="array" aca="1" ref="Z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1" s="1" t="str" cm="1">
        <f t="array" aca="1" ref="AA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1" s="1" t="str" cm="1">
        <f t="array" aca="1" ref="AB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1" s="1" t="str" cm="1">
        <f t="array" aca="1" ref="AC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1" s="1" t="str" cm="1">
        <f t="array" aca="1" ref="AD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1" s="1" t="str" cm="1">
        <f t="array" aca="1" ref="AE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2" spans="1:31">
      <c r="A32" s="1" t="str" cm="1">
        <f t="array" aca="1" ref="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2" s="1" t="str" cm="1">
        <f t="array" aca="1" ref="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2" s="1" t="str" cm="1">
        <f t="array" aca="1" ref="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2" s="1" t="str" cm="1">
        <f t="array" aca="1" ref="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2" s="1" t="str" cm="1">
        <f t="array" aca="1" ref="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2" s="1" t="str" cm="1">
        <f t="array" aca="1" ref="F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2" s="1" t="str" cm="1">
        <f t="array" aca="1" ref="G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2" s="1" t="str" cm="1">
        <f t="array" aca="1" ref="H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2" s="1" t="str" cm="1">
        <f t="array" aca="1" ref="I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2" s="1" t="str" cm="1">
        <f t="array" aca="1" ref="J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2" s="1" t="str" cm="1">
        <f t="array" aca="1" ref="K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2" s="1" t="str" cm="1">
        <f t="array" aca="1" ref="L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2" s="1" t="str" cm="1">
        <f t="array" aca="1" ref="M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2" s="1" t="str" cm="1">
        <f t="array" aca="1" ref="N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2" s="1" t="str" cm="1">
        <f t="array" aca="1" ref="O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2" s="1" t="str" cm="1">
        <f t="array" aca="1" ref="P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2" s="1" t="str" cm="1">
        <f t="array" aca="1" ref="Q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2" s="1" t="str" cm="1">
        <f t="array" aca="1" ref="R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2" s="1" t="str" cm="1">
        <f t="array" aca="1" ref="S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2" s="1" t="str" cm="1">
        <f t="array" aca="1" ref="T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2" s="1" t="str" cm="1">
        <f t="array" aca="1" ref="U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2" s="1" t="str" cm="1">
        <f t="array" aca="1" ref="V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2" s="1" t="str" cm="1">
        <f t="array" aca="1" ref="W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2" s="1" t="str" cm="1">
        <f t="array" aca="1" ref="X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2" s="1" t="str" cm="1">
        <f t="array" aca="1" ref="Y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2" s="1" t="str" cm="1">
        <f t="array" aca="1" ref="Z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2" s="1" t="str" cm="1">
        <f t="array" aca="1" ref="AA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2" s="1" t="str" cm="1">
        <f t="array" aca="1" ref="AB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2" s="1" t="str" cm="1">
        <f t="array" aca="1" ref="AC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2" s="1" t="str" cm="1">
        <f t="array" aca="1" ref="AD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2" s="1" t="str" cm="1">
        <f t="array" aca="1" ref="AE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3" spans="1:31">
      <c r="A33" s="1" t="str" cm="1">
        <f t="array" aca="1" ref="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3" s="1" t="str" cm="1">
        <f t="array" aca="1" ref="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3" s="1" t="str" cm="1">
        <f t="array" aca="1" ref="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3" s="1" t="str" cm="1">
        <f t="array" aca="1" ref="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3" s="1" t="str" cm="1">
        <f t="array" aca="1" ref="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3" s="1" t="str" cm="1">
        <f t="array" aca="1" ref="F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3" s="1" t="str" cm="1">
        <f t="array" aca="1" ref="G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3" s="1" t="str" cm="1">
        <f t="array" aca="1" ref="H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3" s="1" t="str" cm="1">
        <f t="array" aca="1" ref="I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3" s="1" t="str" cm="1">
        <f t="array" aca="1" ref="J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3" s="1" t="str" cm="1">
        <f t="array" aca="1" ref="K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3" s="1" t="str" cm="1">
        <f t="array" aca="1" ref="L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3" s="1" t="str" cm="1">
        <f t="array" aca="1" ref="M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3" s="1" t="str" cm="1">
        <f t="array" aca="1" ref="N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3" s="1" t="str" cm="1">
        <f t="array" aca="1" ref="O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3" s="1" t="str" cm="1">
        <f t="array" aca="1" ref="P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3" s="1" t="str" cm="1">
        <f t="array" aca="1" ref="Q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3" s="1" t="str" cm="1">
        <f t="array" aca="1" ref="R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3" s="1" t="str" cm="1">
        <f t="array" aca="1" ref="S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3" s="1" t="str" cm="1">
        <f t="array" aca="1" ref="T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3" s="1" t="str" cm="1">
        <f t="array" aca="1" ref="U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3" s="1" t="str" cm="1">
        <f t="array" aca="1" ref="V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3" s="1" t="str" cm="1">
        <f t="array" aca="1" ref="W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3" s="1" t="str" cm="1">
        <f t="array" aca="1" ref="X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3" s="1" t="str" cm="1">
        <f t="array" aca="1" ref="Y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3" s="1" t="str" cm="1">
        <f t="array" aca="1" ref="Z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3" s="1" t="str" cm="1">
        <f t="array" aca="1" ref="AA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3" s="1" t="str" cm="1">
        <f t="array" aca="1" ref="AB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3" s="1" t="str" cm="1">
        <f t="array" aca="1" ref="AC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3" s="1" t="str" cm="1">
        <f t="array" aca="1" ref="AD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3" s="1" t="str" cm="1">
        <f t="array" aca="1" ref="AE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4" spans="1:31">
      <c r="A34" s="1" t="str" cm="1">
        <f t="array" aca="1" ref="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4" s="1" t="str" cm="1">
        <f t="array" aca="1" ref="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4" s="1" t="str" cm="1">
        <f t="array" aca="1" ref="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4" s="1" t="str" cm="1">
        <f t="array" aca="1" ref="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4" s="1" t="str" cm="1">
        <f t="array" aca="1" ref="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4" s="1" t="str" cm="1">
        <f t="array" aca="1" ref="F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4" s="1" t="str" cm="1">
        <f t="array" aca="1" ref="G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4" s="1" t="str" cm="1">
        <f t="array" aca="1" ref="H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4" s="1" t="str" cm="1">
        <f t="array" aca="1" ref="I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4" s="1" t="str" cm="1">
        <f t="array" aca="1" ref="J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4" s="1" t="str" cm="1">
        <f t="array" aca="1" ref="K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4" s="1" t="str" cm="1">
        <f t="array" aca="1" ref="L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4" s="1" t="str" cm="1">
        <f t="array" aca="1" ref="M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4" s="1" t="str" cm="1">
        <f t="array" aca="1" ref="N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4" s="1" t="str" cm="1">
        <f t="array" aca="1" ref="O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4" s="1" t="str" cm="1">
        <f t="array" aca="1" ref="P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4" s="1" t="str" cm="1">
        <f t="array" aca="1" ref="Q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4" s="1" t="str" cm="1">
        <f t="array" aca="1" ref="R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4" s="1" t="str" cm="1">
        <f t="array" aca="1" ref="S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4" s="1" t="str" cm="1">
        <f t="array" aca="1" ref="T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4" s="1" t="str" cm="1">
        <f t="array" aca="1" ref="U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4" s="1" t="str" cm="1">
        <f t="array" aca="1" ref="V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4" s="1" t="str" cm="1">
        <f t="array" aca="1" ref="W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4" s="1" t="str" cm="1">
        <f t="array" aca="1" ref="X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4" s="1" t="str" cm="1">
        <f t="array" aca="1" ref="Y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4" s="1" t="str" cm="1">
        <f t="array" aca="1" ref="Z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4" s="1" t="str" cm="1">
        <f t="array" aca="1" ref="AA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4" s="1" t="str" cm="1">
        <f t="array" aca="1" ref="AB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4" s="1" t="str" cm="1">
        <f t="array" aca="1" ref="AC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4" s="1" t="str" cm="1">
        <f t="array" aca="1" ref="AD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4" s="1" t="str" cm="1">
        <f t="array" aca="1" ref="AE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5" spans="1:31">
      <c r="A35" s="1" t="str" cm="1">
        <f t="array" aca="1" ref="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5" s="1" t="str" cm="1">
        <f t="array" aca="1" ref="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5" s="1" t="str" cm="1">
        <f t="array" aca="1" ref="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5" s="1" t="str" cm="1">
        <f t="array" aca="1" ref="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5" s="1" t="str" cm="1">
        <f t="array" aca="1" ref="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5" s="1" t="str" cm="1">
        <f t="array" aca="1" ref="F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5" s="1" t="str" cm="1">
        <f t="array" aca="1" ref="G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5" s="1" t="str" cm="1">
        <f t="array" aca="1" ref="H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5" s="1" t="str" cm="1">
        <f t="array" aca="1" ref="I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5" s="1" t="str" cm="1">
        <f t="array" aca="1" ref="J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5" s="1" t="str" cm="1">
        <f t="array" aca="1" ref="K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5" s="1" t="str" cm="1">
        <f t="array" aca="1" ref="L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5" s="1" t="str" cm="1">
        <f t="array" aca="1" ref="M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5" s="1" t="str" cm="1">
        <f t="array" aca="1" ref="N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5" s="1" t="str" cm="1">
        <f t="array" aca="1" ref="O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5" s="1" t="str" cm="1">
        <f t="array" aca="1" ref="P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5" s="1" t="str" cm="1">
        <f t="array" aca="1" ref="Q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5" s="1" t="str" cm="1">
        <f t="array" aca="1" ref="R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5" s="1" t="str" cm="1">
        <f t="array" aca="1" ref="S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5" s="1" t="str" cm="1">
        <f t="array" aca="1" ref="T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5" s="1" t="str" cm="1">
        <f t="array" aca="1" ref="U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5" s="1" t="str" cm="1">
        <f t="array" aca="1" ref="V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5" s="1" t="str" cm="1">
        <f t="array" aca="1" ref="W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5" s="1" t="str" cm="1">
        <f t="array" aca="1" ref="X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5" s="1" t="str" cm="1">
        <f t="array" aca="1" ref="Y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5" s="1" t="str" cm="1">
        <f t="array" aca="1" ref="Z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5" s="1" t="str" cm="1">
        <f t="array" aca="1" ref="AA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5" s="1" t="str" cm="1">
        <f t="array" aca="1" ref="AB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5" s="1" t="str" cm="1">
        <f t="array" aca="1" ref="AC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5" s="1" t="str" cm="1">
        <f t="array" aca="1" ref="AD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5" s="1" t="str" cm="1">
        <f t="array" aca="1" ref="AE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6" spans="1:31">
      <c r="A36" s="1" t="str" cm="1">
        <f t="array" aca="1" ref="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6" s="1" t="str" cm="1">
        <f t="array" aca="1" ref="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6" s="1" t="str" cm="1">
        <f t="array" aca="1" ref="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6" s="1" t="str" cm="1">
        <f t="array" aca="1" ref="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6" s="1" t="str" cm="1">
        <f t="array" aca="1" ref="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6" s="1" t="str" cm="1">
        <f t="array" aca="1" ref="F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6" s="1" t="str" cm="1">
        <f t="array" aca="1" ref="G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6" s="1" t="str" cm="1">
        <f t="array" aca="1" ref="H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6" s="1" t="str" cm="1">
        <f t="array" aca="1" ref="I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6" s="1" t="str" cm="1">
        <f t="array" aca="1" ref="J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6" s="1" t="str" cm="1">
        <f t="array" aca="1" ref="K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6" s="1" t="str" cm="1">
        <f t="array" aca="1" ref="L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6" s="1" t="str" cm="1">
        <f t="array" aca="1" ref="M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6" s="1" t="str" cm="1">
        <f t="array" aca="1" ref="N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6" s="1" t="str" cm="1">
        <f t="array" aca="1" ref="O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6" s="1" t="str" cm="1">
        <f t="array" aca="1" ref="P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6" s="1" t="str" cm="1">
        <f t="array" aca="1" ref="Q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6" s="1" t="str" cm="1">
        <f t="array" aca="1" ref="R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6" s="1" t="str" cm="1">
        <f t="array" aca="1" ref="S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6" s="1" t="str" cm="1">
        <f t="array" aca="1" ref="T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6" s="1" t="str" cm="1">
        <f t="array" aca="1" ref="U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6" s="1" t="str" cm="1">
        <f t="array" aca="1" ref="V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6" s="1" t="str" cm="1">
        <f t="array" aca="1" ref="W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6" s="1" t="str" cm="1">
        <f t="array" aca="1" ref="X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6" s="1" t="str" cm="1">
        <f t="array" aca="1" ref="Y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6" s="1" t="str" cm="1">
        <f t="array" aca="1" ref="Z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6" s="1" t="str" cm="1">
        <f t="array" aca="1" ref="AA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6" s="1" t="str" cm="1">
        <f t="array" aca="1" ref="AB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6" s="1" t="str" cm="1">
        <f t="array" aca="1" ref="AC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6" s="1" t="str" cm="1">
        <f t="array" aca="1" ref="AD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6" s="1" t="str" cm="1">
        <f t="array" aca="1" ref="AE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7" spans="1:31">
      <c r="A37" s="1" t="str" cm="1">
        <f t="array" aca="1" ref="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7" s="1" t="str" cm="1">
        <f t="array" aca="1" ref="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7" s="1" t="str" cm="1">
        <f t="array" aca="1" ref="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7" s="1" t="str" cm="1">
        <f t="array" aca="1" ref="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7" s="1" t="str" cm="1">
        <f t="array" aca="1" ref="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7" s="1" t="str" cm="1">
        <f t="array" aca="1" ref="F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7" s="1" t="str" cm="1">
        <f t="array" aca="1" ref="G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7" s="1" t="str" cm="1">
        <f t="array" aca="1" ref="H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7" s="1" t="str" cm="1">
        <f t="array" aca="1" ref="I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7" s="1" t="str" cm="1">
        <f t="array" aca="1" ref="J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7" s="1" t="str" cm="1">
        <f t="array" aca="1" ref="K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7" s="1" t="str" cm="1">
        <f t="array" aca="1" ref="L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7" s="1" t="str" cm="1">
        <f t="array" aca="1" ref="M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7" s="1" t="str" cm="1">
        <f t="array" aca="1" ref="N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7" s="1" t="str" cm="1">
        <f t="array" aca="1" ref="O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7" s="1" t="str" cm="1">
        <f t="array" aca="1" ref="P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7" s="1" t="str" cm="1">
        <f t="array" aca="1" ref="Q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7" s="1" t="str" cm="1">
        <f t="array" aca="1" ref="R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7" s="1" t="str" cm="1">
        <f t="array" aca="1" ref="S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7" s="1" t="str" cm="1">
        <f t="array" aca="1" ref="T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7" s="1" t="str" cm="1">
        <f t="array" aca="1" ref="U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7" s="1" t="str" cm="1">
        <f t="array" aca="1" ref="V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7" s="1" t="str" cm="1">
        <f t="array" aca="1" ref="W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7" s="1" t="str" cm="1">
        <f t="array" aca="1" ref="X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7" s="1" t="str" cm="1">
        <f t="array" aca="1" ref="Y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7" s="1" t="str" cm="1">
        <f t="array" aca="1" ref="Z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7" s="1" t="str" cm="1">
        <f t="array" aca="1" ref="AA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7" s="1" t="str" cm="1">
        <f t="array" aca="1" ref="AB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7" s="1" t="str" cm="1">
        <f t="array" aca="1" ref="AC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7" s="1" t="str" cm="1">
        <f t="array" aca="1" ref="AD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7" s="1" t="str" cm="1">
        <f t="array" aca="1" ref="AE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8" spans="1:31">
      <c r="A38" s="1" t="str" cm="1">
        <f t="array" aca="1" ref="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8" s="1" t="str" cm="1">
        <f t="array" aca="1" ref="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8" s="1" t="str" cm="1">
        <f t="array" aca="1" ref="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8" s="1" t="str" cm="1">
        <f t="array" aca="1" ref="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8" s="1" t="str" cm="1">
        <f t="array" aca="1" ref="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8" s="1" t="str" cm="1">
        <f t="array" aca="1" ref="F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8" s="1" t="str" cm="1">
        <f t="array" aca="1" ref="G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8" s="1" t="str" cm="1">
        <f t="array" aca="1" ref="H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8" s="1" t="str" cm="1">
        <f t="array" aca="1" ref="I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8" s="1" t="str" cm="1">
        <f t="array" aca="1" ref="J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8" s="1" t="str" cm="1">
        <f t="array" aca="1" ref="K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8" s="1" t="str" cm="1">
        <f t="array" aca="1" ref="L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8" s="1" t="str" cm="1">
        <f t="array" aca="1" ref="M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8" s="1" t="str" cm="1">
        <f t="array" aca="1" ref="N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8" s="1" t="str" cm="1">
        <f t="array" aca="1" ref="O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8" s="1" t="str" cm="1">
        <f t="array" aca="1" ref="P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8" s="1" t="str" cm="1">
        <f t="array" aca="1" ref="Q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8" s="1" t="str" cm="1">
        <f t="array" aca="1" ref="R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8" s="1" t="str" cm="1">
        <f t="array" aca="1" ref="S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8" s="1" t="str" cm="1">
        <f t="array" aca="1" ref="T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8" s="1" t="str" cm="1">
        <f t="array" aca="1" ref="U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8" s="1" t="str" cm="1">
        <f t="array" aca="1" ref="V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8" s="1" t="str" cm="1">
        <f t="array" aca="1" ref="W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8" s="1" t="str" cm="1">
        <f t="array" aca="1" ref="X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8" s="1" t="str" cm="1">
        <f t="array" aca="1" ref="Y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8" s="1" t="str" cm="1">
        <f t="array" aca="1" ref="Z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8" s="1" t="str" cm="1">
        <f t="array" aca="1" ref="AA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8" s="1" t="str" cm="1">
        <f t="array" aca="1" ref="AB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8" s="1" t="str" cm="1">
        <f t="array" aca="1" ref="AC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8" s="1" t="str" cm="1">
        <f t="array" aca="1" ref="AD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8" s="1" t="str" cm="1">
        <f t="array" aca="1" ref="AE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39" spans="1:31">
      <c r="A39" s="1" t="str" cm="1">
        <f t="array" aca="1" ref="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39" s="1" t="str" cm="1">
        <f t="array" aca="1" ref="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39" s="1" t="str" cm="1">
        <f t="array" aca="1" ref="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39" s="1" t="str" cm="1">
        <f t="array" aca="1" ref="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39" s="1" t="str" cm="1">
        <f t="array" aca="1" ref="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39" s="1" t="str" cm="1">
        <f t="array" aca="1" ref="F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39" s="1" t="str" cm="1">
        <f t="array" aca="1" ref="G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39" s="1" t="str" cm="1">
        <f t="array" aca="1" ref="H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39" s="1" t="str" cm="1">
        <f t="array" aca="1" ref="I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39" s="1" t="str" cm="1">
        <f t="array" aca="1" ref="J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39" s="1" t="str" cm="1">
        <f t="array" aca="1" ref="K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39" s="1" t="str" cm="1">
        <f t="array" aca="1" ref="L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39" s="1" t="str" cm="1">
        <f t="array" aca="1" ref="M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39" s="1" t="str" cm="1">
        <f t="array" aca="1" ref="N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39" s="1" t="str" cm="1">
        <f t="array" aca="1" ref="O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39" s="1" t="str" cm="1">
        <f t="array" aca="1" ref="P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39" s="1" t="str" cm="1">
        <f t="array" aca="1" ref="Q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39" s="1" t="str" cm="1">
        <f t="array" aca="1" ref="R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39" s="1" t="str" cm="1">
        <f t="array" aca="1" ref="S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39" s="1" t="str" cm="1">
        <f t="array" aca="1" ref="T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39" s="1" t="str" cm="1">
        <f t="array" aca="1" ref="U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39" s="1" t="str" cm="1">
        <f t="array" aca="1" ref="V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39" s="1" t="str" cm="1">
        <f t="array" aca="1" ref="W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39" s="1" t="str" cm="1">
        <f t="array" aca="1" ref="X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39" s="1" t="str" cm="1">
        <f t="array" aca="1" ref="Y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39" s="1" t="str" cm="1">
        <f t="array" aca="1" ref="Z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39" s="1" t="str" cm="1">
        <f t="array" aca="1" ref="AA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39" s="1" t="str" cm="1">
        <f t="array" aca="1" ref="AB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39" s="1" t="str" cm="1">
        <f t="array" aca="1" ref="AC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39" s="1" t="str" cm="1">
        <f t="array" aca="1" ref="AD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39" s="1" t="str" cm="1">
        <f t="array" aca="1" ref="AE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0" spans="1:31">
      <c r="A40" s="1" t="str" cm="1">
        <f t="array" aca="1" ref="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0" s="1" t="str" cm="1">
        <f t="array" aca="1" ref="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0" s="1" t="str" cm="1">
        <f t="array" aca="1" ref="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0" s="1" t="str" cm="1">
        <f t="array" aca="1" ref="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0" s="1" t="str" cm="1">
        <f t="array" aca="1" ref="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0" s="1" t="str" cm="1">
        <f t="array" aca="1" ref="F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0" s="1" t="str" cm="1">
        <f t="array" aca="1" ref="G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0" s="1" t="str" cm="1">
        <f t="array" aca="1" ref="H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0" s="1" t="str" cm="1">
        <f t="array" aca="1" ref="I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0" s="1" t="str" cm="1">
        <f t="array" aca="1" ref="J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0" s="1" t="str" cm="1">
        <f t="array" aca="1" ref="K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0" s="1" t="str" cm="1">
        <f t="array" aca="1" ref="L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0" s="1" t="str" cm="1">
        <f t="array" aca="1" ref="M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0" s="1" t="str" cm="1">
        <f t="array" aca="1" ref="N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0" s="1" t="str" cm="1">
        <f t="array" aca="1" ref="O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0" s="1" t="str" cm="1">
        <f t="array" aca="1" ref="P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0" s="1" t="str" cm="1">
        <f t="array" aca="1" ref="Q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0" s="1" t="str" cm="1">
        <f t="array" aca="1" ref="R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0" s="1" t="str" cm="1">
        <f t="array" aca="1" ref="S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0" s="1" t="str" cm="1">
        <f t="array" aca="1" ref="T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0" s="1" t="str" cm="1">
        <f t="array" aca="1" ref="U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0" s="1" t="str" cm="1">
        <f t="array" aca="1" ref="V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0" s="1" t="str" cm="1">
        <f t="array" aca="1" ref="W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0" s="1" t="str" cm="1">
        <f t="array" aca="1" ref="X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0" s="1" t="str" cm="1">
        <f t="array" aca="1" ref="Y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0" s="1" t="str" cm="1">
        <f t="array" aca="1" ref="Z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0" s="1" t="str" cm="1">
        <f t="array" aca="1" ref="AA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0" s="1" t="str" cm="1">
        <f t="array" aca="1" ref="AB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0" s="1" t="str" cm="1">
        <f t="array" aca="1" ref="AC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0" s="1" t="str" cm="1">
        <f t="array" aca="1" ref="AD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0" s="1" t="str" cm="1">
        <f t="array" aca="1" ref="AE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1" spans="1:31">
      <c r="A41" s="1" t="str" cm="1">
        <f t="array" aca="1" ref="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1" s="1" t="str" cm="1">
        <f t="array" aca="1" ref="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1" s="1" t="str" cm="1">
        <f t="array" aca="1" ref="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1" s="1" t="str" cm="1">
        <f t="array" aca="1" ref="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1" s="1" t="str" cm="1">
        <f t="array" aca="1" ref="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1" s="1" t="str" cm="1">
        <f t="array" aca="1" ref="F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1" s="1" t="str" cm="1">
        <f t="array" aca="1" ref="G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1" s="1" t="str" cm="1">
        <f t="array" aca="1" ref="H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1" s="1" t="str" cm="1">
        <f t="array" aca="1" ref="I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1" s="1" t="str" cm="1">
        <f t="array" aca="1" ref="J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1" s="1" t="str" cm="1">
        <f t="array" aca="1" ref="K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1" s="1" t="str" cm="1">
        <f t="array" aca="1" ref="L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1" s="1" t="str" cm="1">
        <f t="array" aca="1" ref="M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1" s="1" t="str" cm="1">
        <f t="array" aca="1" ref="N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1" s="1" t="str" cm="1">
        <f t="array" aca="1" ref="O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1" s="1" t="str" cm="1">
        <f t="array" aca="1" ref="P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1" s="1" t="str" cm="1">
        <f t="array" aca="1" ref="Q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1" s="1" t="str" cm="1">
        <f t="array" aca="1" ref="R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1" s="1" t="str" cm="1">
        <f t="array" aca="1" ref="S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1" s="1" t="str" cm="1">
        <f t="array" aca="1" ref="T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1" s="1" t="str" cm="1">
        <f t="array" aca="1" ref="U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1" s="1" t="str" cm="1">
        <f t="array" aca="1" ref="V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1" s="1" t="str" cm="1">
        <f t="array" aca="1" ref="W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1" s="1" t="str" cm="1">
        <f t="array" aca="1" ref="X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1" s="1" t="str" cm="1">
        <f t="array" aca="1" ref="Y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1" s="1" t="str" cm="1">
        <f t="array" aca="1" ref="Z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1" s="1" t="str" cm="1">
        <f t="array" aca="1" ref="AA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1" s="1" t="str" cm="1">
        <f t="array" aca="1" ref="AB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1" s="1" t="str" cm="1">
        <f t="array" aca="1" ref="AC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1" s="1" t="str" cm="1">
        <f t="array" aca="1" ref="AD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1" s="1" t="str" cm="1">
        <f t="array" aca="1" ref="AE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2" spans="1:31">
      <c r="A42" s="1" t="str" cm="1">
        <f t="array" aca="1" ref="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2" s="1" t="str" cm="1">
        <f t="array" aca="1" ref="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2" s="1" t="str" cm="1">
        <f t="array" aca="1" ref="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2" s="1" t="str" cm="1">
        <f t="array" aca="1" ref="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2" s="1" t="str" cm="1">
        <f t="array" aca="1" ref="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2" s="1" t="str" cm="1">
        <f t="array" aca="1" ref="F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2" s="1" t="str" cm="1">
        <f t="array" aca="1" ref="G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2" s="1" t="str" cm="1">
        <f t="array" aca="1" ref="H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2" s="1" t="str" cm="1">
        <f t="array" aca="1" ref="I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2" s="1" t="str" cm="1">
        <f t="array" aca="1" ref="J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2" s="1" t="str" cm="1">
        <f t="array" aca="1" ref="K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2" s="1" t="str" cm="1">
        <f t="array" aca="1" ref="L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2" s="1" t="str" cm="1">
        <f t="array" aca="1" ref="M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2" s="1" t="str" cm="1">
        <f t="array" aca="1" ref="N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2" s="1" t="str" cm="1">
        <f t="array" aca="1" ref="O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2" s="1" t="str" cm="1">
        <f t="array" aca="1" ref="P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2" s="1" t="str" cm="1">
        <f t="array" aca="1" ref="Q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2" s="1" t="str" cm="1">
        <f t="array" aca="1" ref="R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2" s="1" t="str" cm="1">
        <f t="array" aca="1" ref="S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2" s="1" t="str" cm="1">
        <f t="array" aca="1" ref="T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2" s="1" t="str" cm="1">
        <f t="array" aca="1" ref="U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2" s="1" t="str" cm="1">
        <f t="array" aca="1" ref="V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2" s="1" t="str" cm="1">
        <f t="array" aca="1" ref="W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2" s="1" t="str" cm="1">
        <f t="array" aca="1" ref="X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2" s="1" t="str" cm="1">
        <f t="array" aca="1" ref="Y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2" s="1" t="str" cm="1">
        <f t="array" aca="1" ref="Z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2" s="1" t="str" cm="1">
        <f t="array" aca="1" ref="AA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2" s="1" t="str" cm="1">
        <f t="array" aca="1" ref="AB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2" s="1" t="str" cm="1">
        <f t="array" aca="1" ref="AC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2" s="1" t="str" cm="1">
        <f t="array" aca="1" ref="AD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2" s="1" t="str" cm="1">
        <f t="array" aca="1" ref="AE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3" spans="1:31">
      <c r="A43" s="1" t="str" cm="1">
        <f t="array" aca="1" ref="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3" s="1" t="str" cm="1">
        <f t="array" aca="1" ref="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3" s="1" t="str" cm="1">
        <f t="array" aca="1" ref="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3" s="1" t="str" cm="1">
        <f t="array" aca="1" ref="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3" s="1" t="str" cm="1">
        <f t="array" aca="1" ref="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3" s="1" t="str" cm="1">
        <f t="array" aca="1" ref="F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3" s="1" t="str" cm="1">
        <f t="array" aca="1" ref="G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3" s="1" t="str" cm="1">
        <f t="array" aca="1" ref="H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3" s="1" t="str" cm="1">
        <f t="array" aca="1" ref="I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3" s="1" t="str" cm="1">
        <f t="array" aca="1" ref="J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3" s="1" t="str" cm="1">
        <f t="array" aca="1" ref="K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3" s="1" t="str" cm="1">
        <f t="array" aca="1" ref="L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3" s="1" t="str" cm="1">
        <f t="array" aca="1" ref="M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3" s="1" t="str" cm="1">
        <f t="array" aca="1" ref="N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3" s="1" t="str" cm="1">
        <f t="array" aca="1" ref="O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3" s="1" t="str" cm="1">
        <f t="array" aca="1" ref="P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3" s="1" t="str" cm="1">
        <f t="array" aca="1" ref="Q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3" s="1" t="str" cm="1">
        <f t="array" aca="1" ref="R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3" s="1" t="str" cm="1">
        <f t="array" aca="1" ref="S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3" s="1" t="str" cm="1">
        <f t="array" aca="1" ref="T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3" s="1" t="str" cm="1">
        <f t="array" aca="1" ref="U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3" s="1" t="str" cm="1">
        <f t="array" aca="1" ref="V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3" s="1" t="str" cm="1">
        <f t="array" aca="1" ref="W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3" s="1" t="str" cm="1">
        <f t="array" aca="1" ref="X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3" s="1" t="str" cm="1">
        <f t="array" aca="1" ref="Y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3" s="1" t="str" cm="1">
        <f t="array" aca="1" ref="Z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3" s="1" t="str" cm="1">
        <f t="array" aca="1" ref="AA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3" s="1" t="str" cm="1">
        <f t="array" aca="1" ref="AB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3" s="1" t="str" cm="1">
        <f t="array" aca="1" ref="AC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3" s="1" t="str" cm="1">
        <f t="array" aca="1" ref="AD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3" s="1" t="str" cm="1">
        <f t="array" aca="1" ref="AE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4" spans="1:31">
      <c r="A44" s="1" t="str" cm="1">
        <f t="array" aca="1" ref="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4" s="1" t="str" cm="1">
        <f t="array" aca="1" ref="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4" s="1" t="str" cm="1">
        <f t="array" aca="1" ref="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4" s="1" t="str" cm="1">
        <f t="array" aca="1" ref="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4" s="1" t="str" cm="1">
        <f t="array" aca="1" ref="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4" s="1" t="str" cm="1">
        <f t="array" aca="1" ref="F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4" s="1" t="str" cm="1">
        <f t="array" aca="1" ref="G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4" s="1" t="str" cm="1">
        <f t="array" aca="1" ref="H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4" s="1" t="str" cm="1">
        <f t="array" aca="1" ref="I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4" s="1" t="str" cm="1">
        <f t="array" aca="1" ref="J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4" s="1" t="str" cm="1">
        <f t="array" aca="1" ref="K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4" s="1" t="str" cm="1">
        <f t="array" aca="1" ref="L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4" s="1" t="str" cm="1">
        <f t="array" aca="1" ref="M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4" s="1" t="str" cm="1">
        <f t="array" aca="1" ref="N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4" s="1" t="str" cm="1">
        <f t="array" aca="1" ref="O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4" s="1" t="str" cm="1">
        <f t="array" aca="1" ref="P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4" s="1" t="str" cm="1">
        <f t="array" aca="1" ref="Q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4" s="1" t="str" cm="1">
        <f t="array" aca="1" ref="R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4" s="1" t="str" cm="1">
        <f t="array" aca="1" ref="S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4" s="1" t="str" cm="1">
        <f t="array" aca="1" ref="T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4" s="1" t="str" cm="1">
        <f t="array" aca="1" ref="U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4" s="1" t="str" cm="1">
        <f t="array" aca="1" ref="V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4" s="1" t="str" cm="1">
        <f t="array" aca="1" ref="W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4" s="1" t="str" cm="1">
        <f t="array" aca="1" ref="X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4" s="1" t="str" cm="1">
        <f t="array" aca="1" ref="Y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4" s="1" t="str" cm="1">
        <f t="array" aca="1" ref="Z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4" s="1" t="str" cm="1">
        <f t="array" aca="1" ref="AA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4" s="1" t="str" cm="1">
        <f t="array" aca="1" ref="AB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4" s="1" t="str" cm="1">
        <f t="array" aca="1" ref="AC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4" s="1" t="str" cm="1">
        <f t="array" aca="1" ref="AD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4" s="1" t="str" cm="1">
        <f t="array" aca="1" ref="AE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5" spans="1:31">
      <c r="A45" s="1" t="str" cm="1">
        <f t="array" aca="1" ref="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5" s="1" t="str" cm="1">
        <f t="array" aca="1" ref="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5" s="1" t="str" cm="1">
        <f t="array" aca="1" ref="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5" s="1" t="str" cm="1">
        <f t="array" aca="1" ref="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5" s="1" t="str" cm="1">
        <f t="array" aca="1" ref="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5" s="1" t="str" cm="1">
        <f t="array" aca="1" ref="F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5" s="1" t="str" cm="1">
        <f t="array" aca="1" ref="G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5" s="1" t="str" cm="1">
        <f t="array" aca="1" ref="H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5" s="1" t="str" cm="1">
        <f t="array" aca="1" ref="I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5" s="1" t="str" cm="1">
        <f t="array" aca="1" ref="J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5" s="1" t="str" cm="1">
        <f t="array" aca="1" ref="K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5" s="1" t="str" cm="1">
        <f t="array" aca="1" ref="L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5" s="1" t="str" cm="1">
        <f t="array" aca="1" ref="M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5" s="1" t="str" cm="1">
        <f t="array" aca="1" ref="N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5" s="1" t="str" cm="1">
        <f t="array" aca="1" ref="O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5" s="1" t="str" cm="1">
        <f t="array" aca="1" ref="P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5" s="1" t="str" cm="1">
        <f t="array" aca="1" ref="Q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5" s="1" t="str" cm="1">
        <f t="array" aca="1" ref="R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5" s="1" t="str" cm="1">
        <f t="array" aca="1" ref="S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5" s="1" t="str" cm="1">
        <f t="array" aca="1" ref="T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5" s="1" t="str" cm="1">
        <f t="array" aca="1" ref="U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5" s="1" t="str" cm="1">
        <f t="array" aca="1" ref="V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5" s="1" t="str" cm="1">
        <f t="array" aca="1" ref="W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5" s="1" t="str" cm="1">
        <f t="array" aca="1" ref="X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5" s="1" t="str" cm="1">
        <f t="array" aca="1" ref="Y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5" s="1" t="str" cm="1">
        <f t="array" aca="1" ref="Z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5" s="1" t="str" cm="1">
        <f t="array" aca="1" ref="AA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5" s="1" t="str" cm="1">
        <f t="array" aca="1" ref="AB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5" s="1" t="str" cm="1">
        <f t="array" aca="1" ref="AC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5" s="1" t="str" cm="1">
        <f t="array" aca="1" ref="AD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5" s="1" t="str" cm="1">
        <f t="array" aca="1" ref="AE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6" spans="1:31">
      <c r="A46" s="1" t="str" cm="1">
        <f t="array" aca="1" ref="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6" s="1" t="str" cm="1">
        <f t="array" aca="1" ref="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6" s="1" t="str" cm="1">
        <f t="array" aca="1" ref="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6" s="1" t="str" cm="1">
        <f t="array" aca="1" ref="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6" s="1" t="str" cm="1">
        <f t="array" aca="1" ref="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6" s="1" t="str" cm="1">
        <f t="array" aca="1" ref="F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6" s="1" t="str" cm="1">
        <f t="array" aca="1" ref="G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6" s="1" t="str" cm="1">
        <f t="array" aca="1" ref="H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6" s="1" t="str" cm="1">
        <f t="array" aca="1" ref="I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6" s="1" t="str" cm="1">
        <f t="array" aca="1" ref="J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6" s="1" t="str" cm="1">
        <f t="array" aca="1" ref="K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6" s="1" t="str" cm="1">
        <f t="array" aca="1" ref="L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6" s="1" t="str" cm="1">
        <f t="array" aca="1" ref="M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6" s="1" t="str" cm="1">
        <f t="array" aca="1" ref="N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6" s="1" t="str" cm="1">
        <f t="array" aca="1" ref="O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6" s="1" t="str" cm="1">
        <f t="array" aca="1" ref="P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6" s="1" t="str" cm="1">
        <f t="array" aca="1" ref="Q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6" s="1" t="str" cm="1">
        <f t="array" aca="1" ref="R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6" s="1" t="str" cm="1">
        <f t="array" aca="1" ref="S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6" s="1" t="str" cm="1">
        <f t="array" aca="1" ref="T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6" s="1" t="str" cm="1">
        <f t="array" aca="1" ref="U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6" s="1" t="str" cm="1">
        <f t="array" aca="1" ref="V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6" s="1" t="str" cm="1">
        <f t="array" aca="1" ref="W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6" s="1" t="str" cm="1">
        <f t="array" aca="1" ref="X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6" s="1" t="str" cm="1">
        <f t="array" aca="1" ref="Y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6" s="1" t="str" cm="1">
        <f t="array" aca="1" ref="Z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6" s="1" t="str" cm="1">
        <f t="array" aca="1" ref="AA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6" s="1" t="str" cm="1">
        <f t="array" aca="1" ref="AB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6" s="1" t="str" cm="1">
        <f t="array" aca="1" ref="AC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6" s="1" t="str" cm="1">
        <f t="array" aca="1" ref="AD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6" s="1" t="str" cm="1">
        <f t="array" aca="1" ref="AE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7" spans="1:31">
      <c r="A47" s="1" t="str" cm="1">
        <f t="array" aca="1" ref="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7" s="1" t="str" cm="1">
        <f t="array" aca="1" ref="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7" s="1" t="str" cm="1">
        <f t="array" aca="1" ref="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7" s="1" t="str" cm="1">
        <f t="array" aca="1" ref="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7" s="1" t="str" cm="1">
        <f t="array" aca="1" ref="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7" s="1" t="str" cm="1">
        <f t="array" aca="1" ref="F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7" s="1" t="str" cm="1">
        <f t="array" aca="1" ref="G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7" s="1" t="str" cm="1">
        <f t="array" aca="1" ref="H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7" s="1" t="str" cm="1">
        <f t="array" aca="1" ref="I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7" s="1" t="str" cm="1">
        <f t="array" aca="1" ref="J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7" s="1" t="str" cm="1">
        <f t="array" aca="1" ref="K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7" s="1" t="str" cm="1">
        <f t="array" aca="1" ref="L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7" s="1" t="str" cm="1">
        <f t="array" aca="1" ref="M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7" s="1" t="str" cm="1">
        <f t="array" aca="1" ref="N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7" s="1" t="str" cm="1">
        <f t="array" aca="1" ref="O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7" s="1" t="str" cm="1">
        <f t="array" aca="1" ref="P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7" s="1" t="str" cm="1">
        <f t="array" aca="1" ref="Q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7" s="1" t="str" cm="1">
        <f t="array" aca="1" ref="R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7" s="1" t="str" cm="1">
        <f t="array" aca="1" ref="S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7" s="1" t="str" cm="1">
        <f t="array" aca="1" ref="T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7" s="1" t="str" cm="1">
        <f t="array" aca="1" ref="U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7" s="1" t="str" cm="1">
        <f t="array" aca="1" ref="V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7" s="1" t="str" cm="1">
        <f t="array" aca="1" ref="W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7" s="1" t="str" cm="1">
        <f t="array" aca="1" ref="X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7" s="1" t="str" cm="1">
        <f t="array" aca="1" ref="Y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7" s="1" t="str" cm="1">
        <f t="array" aca="1" ref="Z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7" s="1" t="str" cm="1">
        <f t="array" aca="1" ref="AA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7" s="1" t="str" cm="1">
        <f t="array" aca="1" ref="AB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7" s="1" t="str" cm="1">
        <f t="array" aca="1" ref="AC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7" s="1" t="str" cm="1">
        <f t="array" aca="1" ref="AD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7" s="1" t="str" cm="1">
        <f t="array" aca="1" ref="AE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8" spans="1:31">
      <c r="A48" s="1" t="str" cm="1">
        <f t="array" aca="1" ref="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8" s="1" t="str" cm="1">
        <f t="array" aca="1" ref="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8" s="1" t="str" cm="1">
        <f t="array" aca="1" ref="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8" s="1" t="str" cm="1">
        <f t="array" aca="1" ref="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8" s="1" t="str" cm="1">
        <f t="array" aca="1" ref="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8" s="1" t="str" cm="1">
        <f t="array" aca="1" ref="F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8" s="1" t="str" cm="1">
        <f t="array" aca="1" ref="G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8" s="1" t="str" cm="1">
        <f t="array" aca="1" ref="H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8" s="1" t="str" cm="1">
        <f t="array" aca="1" ref="I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8" s="1" t="str" cm="1">
        <f t="array" aca="1" ref="J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8" s="1" t="str" cm="1">
        <f t="array" aca="1" ref="K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8" s="1" t="str" cm="1">
        <f t="array" aca="1" ref="L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8" s="1" t="str" cm="1">
        <f t="array" aca="1" ref="M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8" s="1" t="str" cm="1">
        <f t="array" aca="1" ref="N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8" s="1" t="str" cm="1">
        <f t="array" aca="1" ref="O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8" s="1" t="str" cm="1">
        <f t="array" aca="1" ref="P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8" s="1" t="str" cm="1">
        <f t="array" aca="1" ref="Q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8" s="1" t="str" cm="1">
        <f t="array" aca="1" ref="R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8" s="1" t="str" cm="1">
        <f t="array" aca="1" ref="S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8" s="1" t="str" cm="1">
        <f t="array" aca="1" ref="T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8" s="1" t="str" cm="1">
        <f t="array" aca="1" ref="U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8" s="1" t="str" cm="1">
        <f t="array" aca="1" ref="V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8" s="1" t="str" cm="1">
        <f t="array" aca="1" ref="W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8" s="1" t="str" cm="1">
        <f t="array" aca="1" ref="X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8" s="1" t="str" cm="1">
        <f t="array" aca="1" ref="Y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8" s="1" t="str" cm="1">
        <f t="array" aca="1" ref="Z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8" s="1" t="str" cm="1">
        <f t="array" aca="1" ref="AA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8" s="1" t="str" cm="1">
        <f t="array" aca="1" ref="AB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8" s="1" t="str" cm="1">
        <f t="array" aca="1" ref="AC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8" s="1" t="str" cm="1">
        <f t="array" aca="1" ref="AD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8" s="1" t="str" cm="1">
        <f t="array" aca="1" ref="AE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49" spans="1:31">
      <c r="A49" s="1" t="str" cm="1">
        <f t="array" aca="1" ref="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49" s="1" t="str" cm="1">
        <f t="array" aca="1" ref="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49" s="1" t="str" cm="1">
        <f t="array" aca="1" ref="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49" s="1" t="str" cm="1">
        <f t="array" aca="1" ref="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49" s="1" t="str" cm="1">
        <f t="array" aca="1" ref="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49" s="1" t="str" cm="1">
        <f t="array" aca="1" ref="F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49" s="1" t="str" cm="1">
        <f t="array" aca="1" ref="G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49" s="1" t="str" cm="1">
        <f t="array" aca="1" ref="H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49" s="1" t="str" cm="1">
        <f t="array" aca="1" ref="I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49" s="1" t="str" cm="1">
        <f t="array" aca="1" ref="J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49" s="1" t="str" cm="1">
        <f t="array" aca="1" ref="K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49" s="1" t="str" cm="1">
        <f t="array" aca="1" ref="L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49" s="1" t="str" cm="1">
        <f t="array" aca="1" ref="M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49" s="1" t="str" cm="1">
        <f t="array" aca="1" ref="N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49" s="1" t="str" cm="1">
        <f t="array" aca="1" ref="O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49" s="1" t="str" cm="1">
        <f t="array" aca="1" ref="P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49" s="1" t="str" cm="1">
        <f t="array" aca="1" ref="Q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49" s="1" t="str" cm="1">
        <f t="array" aca="1" ref="R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49" s="1" t="str" cm="1">
        <f t="array" aca="1" ref="S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49" s="1" t="str" cm="1">
        <f t="array" aca="1" ref="T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49" s="1" t="str" cm="1">
        <f t="array" aca="1" ref="U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49" s="1" t="str" cm="1">
        <f t="array" aca="1" ref="V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49" s="1" t="str" cm="1">
        <f t="array" aca="1" ref="W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49" s="1" t="str" cm="1">
        <f t="array" aca="1" ref="X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49" s="1" t="str" cm="1">
        <f t="array" aca="1" ref="Y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49" s="1" t="str" cm="1">
        <f t="array" aca="1" ref="Z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49" s="1" t="str" cm="1">
        <f t="array" aca="1" ref="AA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49" s="1" t="str" cm="1">
        <f t="array" aca="1" ref="AB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49" s="1" t="str" cm="1">
        <f t="array" aca="1" ref="AC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49" s="1" t="str" cm="1">
        <f t="array" aca="1" ref="AD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49" s="1" t="str" cm="1">
        <f t="array" aca="1" ref="AE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0" spans="1:31">
      <c r="A50" s="1" t="str" cm="1">
        <f t="array" aca="1" ref="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0" s="1" t="str" cm="1">
        <f t="array" aca="1" ref="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0" s="1" t="str" cm="1">
        <f t="array" aca="1" ref="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0" s="1" t="str" cm="1">
        <f t="array" aca="1" ref="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0" s="1" t="str" cm="1">
        <f t="array" aca="1" ref="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0" s="1" t="str" cm="1">
        <f t="array" aca="1" ref="F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0" s="1" t="str" cm="1">
        <f t="array" aca="1" ref="G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0" s="1" t="str" cm="1">
        <f t="array" aca="1" ref="H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0" s="1" t="str" cm="1">
        <f t="array" aca="1" ref="I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0" s="1" t="str" cm="1">
        <f t="array" aca="1" ref="J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0" s="1" t="str" cm="1">
        <f t="array" aca="1" ref="K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0" s="1" t="str" cm="1">
        <f t="array" aca="1" ref="L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0" s="1" t="str" cm="1">
        <f t="array" aca="1" ref="M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0" s="1" t="str" cm="1">
        <f t="array" aca="1" ref="N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0" s="1" t="str" cm="1">
        <f t="array" aca="1" ref="O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0" s="1" t="str" cm="1">
        <f t="array" aca="1" ref="P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0" s="1" t="str" cm="1">
        <f t="array" aca="1" ref="Q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0" s="1" t="str" cm="1">
        <f t="array" aca="1" ref="R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0" s="1" t="str" cm="1">
        <f t="array" aca="1" ref="S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0" s="1" t="str" cm="1">
        <f t="array" aca="1" ref="T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0" s="1" t="str" cm="1">
        <f t="array" aca="1" ref="U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0" s="1" t="str" cm="1">
        <f t="array" aca="1" ref="V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0" s="1" t="str" cm="1">
        <f t="array" aca="1" ref="W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0" s="1" t="str" cm="1">
        <f t="array" aca="1" ref="X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0" s="1" t="str" cm="1">
        <f t="array" aca="1" ref="Y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0" s="1" t="str" cm="1">
        <f t="array" aca="1" ref="Z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0" s="1" t="str" cm="1">
        <f t="array" aca="1" ref="AA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0" s="1" t="str" cm="1">
        <f t="array" aca="1" ref="AB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0" s="1" t="str" cm="1">
        <f t="array" aca="1" ref="AC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0" s="1" t="str" cm="1">
        <f t="array" aca="1" ref="AD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0" s="1" t="str" cm="1">
        <f t="array" aca="1" ref="AE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1" spans="1:31">
      <c r="A51" s="1" t="str" cm="1">
        <f t="array" aca="1" ref="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1" s="1" t="str" cm="1">
        <f t="array" aca="1" ref="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1" s="1" t="str" cm="1">
        <f t="array" aca="1" ref="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1" s="1" t="str" cm="1">
        <f t="array" aca="1" ref="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1" s="1" t="str" cm="1">
        <f t="array" aca="1" ref="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1" s="1" t="str" cm="1">
        <f t="array" aca="1" ref="F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1" s="1" t="str" cm="1">
        <f t="array" aca="1" ref="G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1" s="1" t="str" cm="1">
        <f t="array" aca="1" ref="H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1" s="1" t="str" cm="1">
        <f t="array" aca="1" ref="I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1" s="1" t="str" cm="1">
        <f t="array" aca="1" ref="J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1" s="1" t="str" cm="1">
        <f t="array" aca="1" ref="K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1" s="1" t="str" cm="1">
        <f t="array" aca="1" ref="L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1" s="1" t="str" cm="1">
        <f t="array" aca="1" ref="M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1" s="1" t="str" cm="1">
        <f t="array" aca="1" ref="N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1" s="1" t="str" cm="1">
        <f t="array" aca="1" ref="O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1" s="1" t="str" cm="1">
        <f t="array" aca="1" ref="P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1" s="1" t="str" cm="1">
        <f t="array" aca="1" ref="Q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1" s="1" t="str" cm="1">
        <f t="array" aca="1" ref="R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1" s="1" t="str" cm="1">
        <f t="array" aca="1" ref="S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1" s="1" t="str" cm="1">
        <f t="array" aca="1" ref="T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1" s="1" t="str" cm="1">
        <f t="array" aca="1" ref="U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1" s="1" t="str" cm="1">
        <f t="array" aca="1" ref="V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1" s="1" t="str" cm="1">
        <f t="array" aca="1" ref="W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1" s="1" t="str" cm="1">
        <f t="array" aca="1" ref="X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1" s="1" t="str" cm="1">
        <f t="array" aca="1" ref="Y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1" s="1" t="str" cm="1">
        <f t="array" aca="1" ref="Z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1" s="1" t="str" cm="1">
        <f t="array" aca="1" ref="AA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1" s="1" t="str" cm="1">
        <f t="array" aca="1" ref="AB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1" s="1" t="str" cm="1">
        <f t="array" aca="1" ref="AC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1" s="1" t="str" cm="1">
        <f t="array" aca="1" ref="AD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1" s="1" t="str" cm="1">
        <f t="array" aca="1" ref="AE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2" spans="1:31">
      <c r="A52" s="1" t="str" cm="1">
        <f t="array" aca="1" ref="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2" s="1" t="str" cm="1">
        <f t="array" aca="1" ref="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2" s="1" t="str" cm="1">
        <f t="array" aca="1" ref="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2" s="1" t="str" cm="1">
        <f t="array" aca="1" ref="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2" s="1" t="str" cm="1">
        <f t="array" aca="1" ref="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2" s="1" t="str" cm="1">
        <f t="array" aca="1" ref="F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2" s="1" t="str" cm="1">
        <f t="array" aca="1" ref="G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2" s="1" t="str" cm="1">
        <f t="array" aca="1" ref="H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2" s="1" t="str" cm="1">
        <f t="array" aca="1" ref="I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2" s="1" t="str" cm="1">
        <f t="array" aca="1" ref="J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2" s="1" t="str" cm="1">
        <f t="array" aca="1" ref="K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2" s="1" t="str" cm="1">
        <f t="array" aca="1" ref="L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2" s="1" t="str" cm="1">
        <f t="array" aca="1" ref="M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2" s="1" t="str" cm="1">
        <f t="array" aca="1" ref="N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2" s="1" t="str" cm="1">
        <f t="array" aca="1" ref="O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2" s="1" t="str" cm="1">
        <f t="array" aca="1" ref="P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2" s="1" t="str" cm="1">
        <f t="array" aca="1" ref="Q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2" s="1" t="str" cm="1">
        <f t="array" aca="1" ref="R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2" s="1" t="str" cm="1">
        <f t="array" aca="1" ref="S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2" s="1" t="str" cm="1">
        <f t="array" aca="1" ref="T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2" s="1" t="str" cm="1">
        <f t="array" aca="1" ref="U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2" s="1" t="str" cm="1">
        <f t="array" aca="1" ref="V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2" s="1" t="str" cm="1">
        <f t="array" aca="1" ref="W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2" s="1" t="str" cm="1">
        <f t="array" aca="1" ref="X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2" s="1" t="str" cm="1">
        <f t="array" aca="1" ref="Y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2" s="1" t="str" cm="1">
        <f t="array" aca="1" ref="Z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2" s="1" t="str" cm="1">
        <f t="array" aca="1" ref="AA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2" s="1" t="str" cm="1">
        <f t="array" aca="1" ref="AB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2" s="1" t="str" cm="1">
        <f t="array" aca="1" ref="AC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2" s="1" t="str" cm="1">
        <f t="array" aca="1" ref="AD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2" s="1" t="str" cm="1">
        <f t="array" aca="1" ref="AE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3" spans="1:31">
      <c r="A53" s="1" t="str" cm="1">
        <f t="array" aca="1" ref="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3" s="1" t="str" cm="1">
        <f t="array" aca="1" ref="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3" s="1" t="str" cm="1">
        <f t="array" aca="1" ref="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3" s="1" t="str" cm="1">
        <f t="array" aca="1" ref="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3" s="1" t="str" cm="1">
        <f t="array" aca="1" ref="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3" s="1" t="str" cm="1">
        <f t="array" aca="1" ref="F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3" s="1" t="str" cm="1">
        <f t="array" aca="1" ref="G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3" s="1" t="str" cm="1">
        <f t="array" aca="1" ref="H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3" s="1" t="str" cm="1">
        <f t="array" aca="1" ref="I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3" s="1" t="str" cm="1">
        <f t="array" aca="1" ref="J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3" s="1" t="str" cm="1">
        <f t="array" aca="1" ref="K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3" s="1" t="str" cm="1">
        <f t="array" aca="1" ref="L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3" s="1" t="str" cm="1">
        <f t="array" aca="1" ref="M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3" s="1" t="str" cm="1">
        <f t="array" aca="1" ref="N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3" s="1" t="str" cm="1">
        <f t="array" aca="1" ref="O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3" s="1" t="str" cm="1">
        <f t="array" aca="1" ref="P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3" s="1" t="str" cm="1">
        <f t="array" aca="1" ref="Q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3" s="1" t="str" cm="1">
        <f t="array" aca="1" ref="R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3" s="1" t="str" cm="1">
        <f t="array" aca="1" ref="S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3" s="1" t="str" cm="1">
        <f t="array" aca="1" ref="T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3" s="1" t="str" cm="1">
        <f t="array" aca="1" ref="U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3" s="1" t="str" cm="1">
        <f t="array" aca="1" ref="V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3" s="1" t="str" cm="1">
        <f t="array" aca="1" ref="W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3" s="1" t="str" cm="1">
        <f t="array" aca="1" ref="X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3" s="1" t="str" cm="1">
        <f t="array" aca="1" ref="Y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3" s="1" t="str" cm="1">
        <f t="array" aca="1" ref="Z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3" s="1" t="str" cm="1">
        <f t="array" aca="1" ref="AA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3" s="1" t="str" cm="1">
        <f t="array" aca="1" ref="AB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3" s="1" t="str" cm="1">
        <f t="array" aca="1" ref="AC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3" s="1" t="str" cm="1">
        <f t="array" aca="1" ref="AD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3" s="1" t="str" cm="1">
        <f t="array" aca="1" ref="AE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4" spans="1:31">
      <c r="A54" s="1" t="str" cm="1">
        <f t="array" aca="1" ref="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4" s="1" t="str" cm="1">
        <f t="array" aca="1" ref="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4" s="1" t="str" cm="1">
        <f t="array" aca="1" ref="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4" s="1" t="str" cm="1">
        <f t="array" aca="1" ref="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4" s="1" t="str" cm="1">
        <f t="array" aca="1" ref="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4" s="1" t="str" cm="1">
        <f t="array" aca="1" ref="F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4" s="1" t="str" cm="1">
        <f t="array" aca="1" ref="G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4" s="1" t="str" cm="1">
        <f t="array" aca="1" ref="H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4" s="1" t="str" cm="1">
        <f t="array" aca="1" ref="I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4" s="1" t="str" cm="1">
        <f t="array" aca="1" ref="J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4" s="1" t="str" cm="1">
        <f t="array" aca="1" ref="K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4" s="1" t="str" cm="1">
        <f t="array" aca="1" ref="L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4" s="1" t="str" cm="1">
        <f t="array" aca="1" ref="M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4" s="1" t="str" cm="1">
        <f t="array" aca="1" ref="N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4" s="1" t="str" cm="1">
        <f t="array" aca="1" ref="O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4" s="1" t="str" cm="1">
        <f t="array" aca="1" ref="P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4" s="1" t="str" cm="1">
        <f t="array" aca="1" ref="Q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4" s="1" t="str" cm="1">
        <f t="array" aca="1" ref="R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4" s="1" t="str" cm="1">
        <f t="array" aca="1" ref="S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4" s="1" t="str" cm="1">
        <f t="array" aca="1" ref="T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4" s="1" t="str" cm="1">
        <f t="array" aca="1" ref="U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4" s="1" t="str" cm="1">
        <f t="array" aca="1" ref="V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4" s="1" t="str" cm="1">
        <f t="array" aca="1" ref="W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4" s="1" t="str" cm="1">
        <f t="array" aca="1" ref="X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4" s="1" t="str" cm="1">
        <f t="array" aca="1" ref="Y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4" s="1" t="str" cm="1">
        <f t="array" aca="1" ref="Z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4" s="1" t="str" cm="1">
        <f t="array" aca="1" ref="AA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4" s="1" t="str" cm="1">
        <f t="array" aca="1" ref="AB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4" s="1" t="str" cm="1">
        <f t="array" aca="1" ref="AC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4" s="1" t="str" cm="1">
        <f t="array" aca="1" ref="AD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4" s="1" t="str" cm="1">
        <f t="array" aca="1" ref="AE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5" spans="1:31">
      <c r="A55" s="1" t="str" cm="1">
        <f t="array" aca="1" ref="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5" s="1" t="str" cm="1">
        <f t="array" aca="1" ref="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5" s="1" t="str" cm="1">
        <f t="array" aca="1" ref="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5" s="1" t="str" cm="1">
        <f t="array" aca="1" ref="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5" s="1" t="str" cm="1">
        <f t="array" aca="1" ref="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5" s="1" t="str" cm="1">
        <f t="array" aca="1" ref="F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5" s="1" t="str" cm="1">
        <f t="array" aca="1" ref="G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5" s="1" t="str" cm="1">
        <f t="array" aca="1" ref="H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5" s="1" t="str" cm="1">
        <f t="array" aca="1" ref="I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5" s="1" t="str" cm="1">
        <f t="array" aca="1" ref="J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5" s="1" t="str" cm="1">
        <f t="array" aca="1" ref="K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5" s="1" t="str" cm="1">
        <f t="array" aca="1" ref="L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5" s="1" t="str" cm="1">
        <f t="array" aca="1" ref="M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5" s="1" t="str" cm="1">
        <f t="array" aca="1" ref="N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5" s="1" t="str" cm="1">
        <f t="array" aca="1" ref="O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5" s="1" t="str" cm="1">
        <f t="array" aca="1" ref="P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5" s="1" t="str" cm="1">
        <f t="array" aca="1" ref="Q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5" s="1" t="str" cm="1">
        <f t="array" aca="1" ref="R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5" s="1" t="str" cm="1">
        <f t="array" aca="1" ref="S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5" s="1" t="str" cm="1">
        <f t="array" aca="1" ref="T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5" s="1" t="str" cm="1">
        <f t="array" aca="1" ref="U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5" s="1" t="str" cm="1">
        <f t="array" aca="1" ref="V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5" s="1" t="str" cm="1">
        <f t="array" aca="1" ref="W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5" s="1" t="str" cm="1">
        <f t="array" aca="1" ref="X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5" s="1" t="str" cm="1">
        <f t="array" aca="1" ref="Y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5" s="1" t="str" cm="1">
        <f t="array" aca="1" ref="Z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5" s="1" t="str" cm="1">
        <f t="array" aca="1" ref="AA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5" s="1" t="str" cm="1">
        <f t="array" aca="1" ref="AB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5" s="1" t="str" cm="1">
        <f t="array" aca="1" ref="AC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5" s="1" t="str" cm="1">
        <f t="array" aca="1" ref="AD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5" s="1" t="str" cm="1">
        <f t="array" aca="1" ref="AE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6" spans="1:31">
      <c r="A56" s="1" t="str" cm="1">
        <f t="array" aca="1" ref="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6" s="1" t="str" cm="1">
        <f t="array" aca="1" ref="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6" s="1" t="str" cm="1">
        <f t="array" aca="1" ref="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6" s="1" t="str" cm="1">
        <f t="array" aca="1" ref="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6" s="1" t="str" cm="1">
        <f t="array" aca="1" ref="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6" s="1" t="str" cm="1">
        <f t="array" aca="1" ref="F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6" s="1" t="str" cm="1">
        <f t="array" aca="1" ref="G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6" s="1" t="str" cm="1">
        <f t="array" aca="1" ref="H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6" s="1" t="str" cm="1">
        <f t="array" aca="1" ref="I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6" s="1" t="str" cm="1">
        <f t="array" aca="1" ref="J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6" s="1" t="str" cm="1">
        <f t="array" aca="1" ref="K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6" s="1" t="str" cm="1">
        <f t="array" aca="1" ref="L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6" s="1" t="str" cm="1">
        <f t="array" aca="1" ref="M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6" s="1" t="str" cm="1">
        <f t="array" aca="1" ref="N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6" s="1" t="str" cm="1">
        <f t="array" aca="1" ref="O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6" s="1" t="str" cm="1">
        <f t="array" aca="1" ref="P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6" s="1" t="str" cm="1">
        <f t="array" aca="1" ref="Q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6" s="1" t="str" cm="1">
        <f t="array" aca="1" ref="R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6" s="1" t="str" cm="1">
        <f t="array" aca="1" ref="S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6" s="1" t="str" cm="1">
        <f t="array" aca="1" ref="T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6" s="1" t="str" cm="1">
        <f t="array" aca="1" ref="U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6" s="1" t="str" cm="1">
        <f t="array" aca="1" ref="V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6" s="1" t="str" cm="1">
        <f t="array" aca="1" ref="W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6" s="1" t="str" cm="1">
        <f t="array" aca="1" ref="X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6" s="1" t="str" cm="1">
        <f t="array" aca="1" ref="Y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6" s="1" t="str" cm="1">
        <f t="array" aca="1" ref="Z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6" s="1" t="str" cm="1">
        <f t="array" aca="1" ref="AA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6" s="1" t="str" cm="1">
        <f t="array" aca="1" ref="AB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6" s="1" t="str" cm="1">
        <f t="array" aca="1" ref="AC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6" s="1" t="str" cm="1">
        <f t="array" aca="1" ref="AD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6" s="1" t="str" cm="1">
        <f t="array" aca="1" ref="AE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7" spans="1:31">
      <c r="A57" s="1" t="str" cm="1">
        <f t="array" aca="1" ref="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7" s="1" t="str" cm="1">
        <f t="array" aca="1" ref="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7" s="1" t="str" cm="1">
        <f t="array" aca="1" ref="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7" s="1" t="str" cm="1">
        <f t="array" aca="1" ref="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7" s="1" t="str" cm="1">
        <f t="array" aca="1" ref="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7" s="1" t="str" cm="1">
        <f t="array" aca="1" ref="F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7" s="1" t="str" cm="1">
        <f t="array" aca="1" ref="G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7" s="1" t="str" cm="1">
        <f t="array" aca="1" ref="H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7" s="1" t="str" cm="1">
        <f t="array" aca="1" ref="I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7" s="1" t="str" cm="1">
        <f t="array" aca="1" ref="J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7" s="1" t="str" cm="1">
        <f t="array" aca="1" ref="K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7" s="1" t="str" cm="1">
        <f t="array" aca="1" ref="L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7" s="1" t="str" cm="1">
        <f t="array" aca="1" ref="M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7" s="1" t="str" cm="1">
        <f t="array" aca="1" ref="N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7" s="1" t="str" cm="1">
        <f t="array" aca="1" ref="O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7" s="1" t="str" cm="1">
        <f t="array" aca="1" ref="P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7" s="1" t="str" cm="1">
        <f t="array" aca="1" ref="Q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7" s="1" t="str" cm="1">
        <f t="array" aca="1" ref="R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7" s="1" t="str" cm="1">
        <f t="array" aca="1" ref="S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7" s="1" t="str" cm="1">
        <f t="array" aca="1" ref="T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7" s="1" t="str" cm="1">
        <f t="array" aca="1" ref="U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7" s="1" t="str" cm="1">
        <f t="array" aca="1" ref="V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7" s="1" t="str" cm="1">
        <f t="array" aca="1" ref="W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7" s="1" t="str" cm="1">
        <f t="array" aca="1" ref="X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7" s="1" t="str" cm="1">
        <f t="array" aca="1" ref="Y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7" s="1" t="str" cm="1">
        <f t="array" aca="1" ref="Z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7" s="1" t="str" cm="1">
        <f t="array" aca="1" ref="AA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7" s="1" t="str" cm="1">
        <f t="array" aca="1" ref="AB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7" s="1" t="str" cm="1">
        <f t="array" aca="1" ref="AC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7" s="1" t="str" cm="1">
        <f t="array" aca="1" ref="AD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7" s="1" t="str" cm="1">
        <f t="array" aca="1" ref="AE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8" spans="1:31">
      <c r="A58" s="1" t="str" cm="1">
        <f t="array" aca="1" ref="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8" s="1" t="str" cm="1">
        <f t="array" aca="1" ref="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8" s="1" t="str" cm="1">
        <f t="array" aca="1" ref="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8" s="1" t="str" cm="1">
        <f t="array" aca="1" ref="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8" s="1" t="str" cm="1">
        <f t="array" aca="1" ref="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8" s="1" t="str" cm="1">
        <f t="array" aca="1" ref="F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8" s="1" t="str" cm="1">
        <f t="array" aca="1" ref="G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8" s="1" t="str" cm="1">
        <f t="array" aca="1" ref="H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8" s="1" t="str" cm="1">
        <f t="array" aca="1" ref="I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8" s="1" t="str" cm="1">
        <f t="array" aca="1" ref="J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8" s="1" t="str" cm="1">
        <f t="array" aca="1" ref="K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8" s="1" t="str" cm="1">
        <f t="array" aca="1" ref="L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8" s="1" t="str" cm="1">
        <f t="array" aca="1" ref="M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8" s="1" t="str" cm="1">
        <f t="array" aca="1" ref="N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8" s="1" t="str" cm="1">
        <f t="array" aca="1" ref="O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8" s="1" t="str" cm="1">
        <f t="array" aca="1" ref="P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8" s="1" t="str" cm="1">
        <f t="array" aca="1" ref="Q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8" s="1" t="str" cm="1">
        <f t="array" aca="1" ref="R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8" s="1" t="str" cm="1">
        <f t="array" aca="1" ref="S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8" s="1" t="str" cm="1">
        <f t="array" aca="1" ref="T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8" s="1" t="str" cm="1">
        <f t="array" aca="1" ref="U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8" s="1" t="str" cm="1">
        <f t="array" aca="1" ref="V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8" s="1" t="str" cm="1">
        <f t="array" aca="1" ref="W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8" s="1" t="str" cm="1">
        <f t="array" aca="1" ref="X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8" s="1" t="str" cm="1">
        <f t="array" aca="1" ref="Y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8" s="1" t="str" cm="1">
        <f t="array" aca="1" ref="Z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8" s="1" t="str" cm="1">
        <f t="array" aca="1" ref="AA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8" s="1" t="str" cm="1">
        <f t="array" aca="1" ref="AB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8" s="1" t="str" cm="1">
        <f t="array" aca="1" ref="AC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8" s="1" t="str" cm="1">
        <f t="array" aca="1" ref="AD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8" s="1" t="str" cm="1">
        <f t="array" aca="1" ref="AE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59" spans="1:31">
      <c r="A59" s="1" t="str" cm="1">
        <f t="array" aca="1" ref="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59" s="1" t="str" cm="1">
        <f t="array" aca="1" ref="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59" s="1" t="str" cm="1">
        <f t="array" aca="1" ref="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59" s="1" t="str" cm="1">
        <f t="array" aca="1" ref="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59" s="1" t="str" cm="1">
        <f t="array" aca="1" ref="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59" s="1" t="str" cm="1">
        <f t="array" aca="1" ref="F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59" s="1" t="str" cm="1">
        <f t="array" aca="1" ref="G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59" s="1" t="str" cm="1">
        <f t="array" aca="1" ref="H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59" s="1" t="str" cm="1">
        <f t="array" aca="1" ref="I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59" s="1" t="str" cm="1">
        <f t="array" aca="1" ref="J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59" s="1" t="str" cm="1">
        <f t="array" aca="1" ref="K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59" s="1" t="str" cm="1">
        <f t="array" aca="1" ref="L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59" s="1" t="str" cm="1">
        <f t="array" aca="1" ref="M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59" s="1" t="str" cm="1">
        <f t="array" aca="1" ref="N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59" s="1" t="str" cm="1">
        <f t="array" aca="1" ref="O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59" s="1" t="str" cm="1">
        <f t="array" aca="1" ref="P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59" s="1" t="str" cm="1">
        <f t="array" aca="1" ref="Q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59" s="1" t="str" cm="1">
        <f t="array" aca="1" ref="R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59" s="1" t="str" cm="1">
        <f t="array" aca="1" ref="S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59" s="1" t="str" cm="1">
        <f t="array" aca="1" ref="T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59" s="1" t="str" cm="1">
        <f t="array" aca="1" ref="U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59" s="1" t="str" cm="1">
        <f t="array" aca="1" ref="V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59" s="1" t="str" cm="1">
        <f t="array" aca="1" ref="W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59" s="1" t="str" cm="1">
        <f t="array" aca="1" ref="X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59" s="1" t="str" cm="1">
        <f t="array" aca="1" ref="Y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59" s="1" t="str" cm="1">
        <f t="array" aca="1" ref="Z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59" s="1" t="str" cm="1">
        <f t="array" aca="1" ref="AA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59" s="1" t="str" cm="1">
        <f t="array" aca="1" ref="AB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59" s="1" t="str" cm="1">
        <f t="array" aca="1" ref="AC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59" s="1" t="str" cm="1">
        <f t="array" aca="1" ref="AD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59" s="1" t="str" cm="1">
        <f t="array" aca="1" ref="AE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0" spans="1:31">
      <c r="A60" s="1" t="str" cm="1">
        <f t="array" aca="1" ref="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0" s="1" t="str" cm="1">
        <f t="array" aca="1" ref="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0" s="1" t="str" cm="1">
        <f t="array" aca="1" ref="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0" s="1" t="str" cm="1">
        <f t="array" aca="1" ref="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0" s="1" t="str" cm="1">
        <f t="array" aca="1" ref="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0" s="1" t="str" cm="1">
        <f t="array" aca="1" ref="F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0" s="1" t="str" cm="1">
        <f t="array" aca="1" ref="G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0" s="1" t="str" cm="1">
        <f t="array" aca="1" ref="H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0" s="1" t="str" cm="1">
        <f t="array" aca="1" ref="I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0" s="1" t="str" cm="1">
        <f t="array" aca="1" ref="J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0" s="1" t="str" cm="1">
        <f t="array" aca="1" ref="K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0" s="1" t="str" cm="1">
        <f t="array" aca="1" ref="L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0" s="1" t="str" cm="1">
        <f t="array" aca="1" ref="M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0" s="1" t="str" cm="1">
        <f t="array" aca="1" ref="N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0" s="1" t="str" cm="1">
        <f t="array" aca="1" ref="O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0" s="1" t="str" cm="1">
        <f t="array" aca="1" ref="P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0" s="1" t="str" cm="1">
        <f t="array" aca="1" ref="Q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0" s="1" t="str" cm="1">
        <f t="array" aca="1" ref="R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0" s="1" t="str" cm="1">
        <f t="array" aca="1" ref="S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0" s="1" t="str" cm="1">
        <f t="array" aca="1" ref="T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0" s="1" t="str" cm="1">
        <f t="array" aca="1" ref="U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0" s="1" t="str" cm="1">
        <f t="array" aca="1" ref="V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0" s="1" t="str" cm="1">
        <f t="array" aca="1" ref="W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0" s="1" t="str" cm="1">
        <f t="array" aca="1" ref="X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0" s="1" t="str" cm="1">
        <f t="array" aca="1" ref="Y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0" s="1" t="str" cm="1">
        <f t="array" aca="1" ref="Z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0" s="1" t="str" cm="1">
        <f t="array" aca="1" ref="AA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0" s="1" t="str" cm="1">
        <f t="array" aca="1" ref="AB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0" s="1" t="str" cm="1">
        <f t="array" aca="1" ref="AC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0" s="1" t="str" cm="1">
        <f t="array" aca="1" ref="AD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0" s="1" t="str" cm="1">
        <f t="array" aca="1" ref="AE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1" spans="1:31">
      <c r="A61" s="1" t="str" cm="1">
        <f t="array" aca="1" ref="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1" s="1" t="str" cm="1">
        <f t="array" aca="1" ref="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1" s="1" t="str" cm="1">
        <f t="array" aca="1" ref="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1" s="1" t="str" cm="1">
        <f t="array" aca="1" ref="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1" s="1" t="str" cm="1">
        <f t="array" aca="1" ref="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1" s="1" t="str" cm="1">
        <f t="array" aca="1" ref="F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1" s="1" t="str" cm="1">
        <f t="array" aca="1" ref="G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1" s="1" t="str" cm="1">
        <f t="array" aca="1" ref="H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1" s="1" t="str" cm="1">
        <f t="array" aca="1" ref="I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1" s="1" t="str" cm="1">
        <f t="array" aca="1" ref="J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1" s="1" t="str" cm="1">
        <f t="array" aca="1" ref="K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1" s="1" t="str" cm="1">
        <f t="array" aca="1" ref="L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1" s="1" t="str" cm="1">
        <f t="array" aca="1" ref="M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1" s="1" t="str" cm="1">
        <f t="array" aca="1" ref="N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1" s="1" t="str" cm="1">
        <f t="array" aca="1" ref="O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1" s="1" t="str" cm="1">
        <f t="array" aca="1" ref="P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1" s="1" t="str" cm="1">
        <f t="array" aca="1" ref="Q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1" s="1" t="str" cm="1">
        <f t="array" aca="1" ref="R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1" s="1" t="str" cm="1">
        <f t="array" aca="1" ref="S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1" s="1" t="str" cm="1">
        <f t="array" aca="1" ref="T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1" s="1" t="str" cm="1">
        <f t="array" aca="1" ref="U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1" s="1" t="str" cm="1">
        <f t="array" aca="1" ref="V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1" s="1" t="str" cm="1">
        <f t="array" aca="1" ref="W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1" s="1" t="str" cm="1">
        <f t="array" aca="1" ref="X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1" s="1" t="str" cm="1">
        <f t="array" aca="1" ref="Y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1" s="1" t="str" cm="1">
        <f t="array" aca="1" ref="Z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1" s="1" t="str" cm="1">
        <f t="array" aca="1" ref="AA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1" s="1" t="str" cm="1">
        <f t="array" aca="1" ref="AB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1" s="1" t="str" cm="1">
        <f t="array" aca="1" ref="AC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1" s="1" t="str" cm="1">
        <f t="array" aca="1" ref="AD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1" s="1" t="str" cm="1">
        <f t="array" aca="1" ref="AE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2" spans="1:31">
      <c r="A62" s="1" t="str" cm="1">
        <f t="array" aca="1" ref="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2" s="1" t="str" cm="1">
        <f t="array" aca="1" ref="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2" s="1" t="str" cm="1">
        <f t="array" aca="1" ref="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2" s="1" t="str" cm="1">
        <f t="array" aca="1" ref="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2" s="1" t="str" cm="1">
        <f t="array" aca="1" ref="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2" s="1" t="str" cm="1">
        <f t="array" aca="1" ref="F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2" s="1" t="str" cm="1">
        <f t="array" aca="1" ref="G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2" s="1" t="str" cm="1">
        <f t="array" aca="1" ref="H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2" s="1" t="str" cm="1">
        <f t="array" aca="1" ref="I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2" s="1" t="str" cm="1">
        <f t="array" aca="1" ref="J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2" s="1" t="str" cm="1">
        <f t="array" aca="1" ref="K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2" s="1" t="str" cm="1">
        <f t="array" aca="1" ref="L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2" s="1" t="str" cm="1">
        <f t="array" aca="1" ref="M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2" s="1" t="str" cm="1">
        <f t="array" aca="1" ref="N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2" s="1" t="str" cm="1">
        <f t="array" aca="1" ref="O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2" s="1" t="str" cm="1">
        <f t="array" aca="1" ref="P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2" s="1" t="str" cm="1">
        <f t="array" aca="1" ref="Q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2" s="1" t="str" cm="1">
        <f t="array" aca="1" ref="R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2" s="1" t="str" cm="1">
        <f t="array" aca="1" ref="S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2" s="1" t="str" cm="1">
        <f t="array" aca="1" ref="T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2" s="1" t="str" cm="1">
        <f t="array" aca="1" ref="U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2" s="1" t="str" cm="1">
        <f t="array" aca="1" ref="V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2" s="1" t="str" cm="1">
        <f t="array" aca="1" ref="W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2" s="1" t="str" cm="1">
        <f t="array" aca="1" ref="X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2" s="1" t="str" cm="1">
        <f t="array" aca="1" ref="Y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2" s="1" t="str" cm="1">
        <f t="array" aca="1" ref="Z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2" s="1" t="str" cm="1">
        <f t="array" aca="1" ref="AA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2" s="1" t="str" cm="1">
        <f t="array" aca="1" ref="AB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2" s="1" t="str" cm="1">
        <f t="array" aca="1" ref="AC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2" s="1" t="str" cm="1">
        <f t="array" aca="1" ref="AD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2" s="1" t="str" cm="1">
        <f t="array" aca="1" ref="AE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3" spans="1:31">
      <c r="A63" s="1" t="str" cm="1">
        <f t="array" aca="1" ref="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3" s="1" t="str" cm="1">
        <f t="array" aca="1" ref="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3" s="1" t="str" cm="1">
        <f t="array" aca="1" ref="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3" s="1" t="str" cm="1">
        <f t="array" aca="1" ref="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3" s="1" t="str" cm="1">
        <f t="array" aca="1" ref="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3" s="1" t="str" cm="1">
        <f t="array" aca="1" ref="F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3" s="1" t="str" cm="1">
        <f t="array" aca="1" ref="G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3" s="1" t="str" cm="1">
        <f t="array" aca="1" ref="H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3" s="1" t="str" cm="1">
        <f t="array" aca="1" ref="I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3" s="1" t="str" cm="1">
        <f t="array" aca="1" ref="J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3" s="1" t="str" cm="1">
        <f t="array" aca="1" ref="K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3" s="1" t="str" cm="1">
        <f t="array" aca="1" ref="L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3" s="1" t="str" cm="1">
        <f t="array" aca="1" ref="M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3" s="1" t="str" cm="1">
        <f t="array" aca="1" ref="N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3" s="1" t="str" cm="1">
        <f t="array" aca="1" ref="O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3" s="1" t="str" cm="1">
        <f t="array" aca="1" ref="P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3" s="1" t="str" cm="1">
        <f t="array" aca="1" ref="Q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3" s="1" t="str" cm="1">
        <f t="array" aca="1" ref="R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3" s="1" t="str" cm="1">
        <f t="array" aca="1" ref="S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3" s="1" t="str" cm="1">
        <f t="array" aca="1" ref="T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3" s="1" t="str" cm="1">
        <f t="array" aca="1" ref="U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3" s="1" t="str" cm="1">
        <f t="array" aca="1" ref="V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3" s="1" t="str" cm="1">
        <f t="array" aca="1" ref="W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3" s="1" t="str" cm="1">
        <f t="array" aca="1" ref="X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3" s="1" t="str" cm="1">
        <f t="array" aca="1" ref="Y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3" s="1" t="str" cm="1">
        <f t="array" aca="1" ref="Z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3" s="1" t="str" cm="1">
        <f t="array" aca="1" ref="AA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3" s="1" t="str" cm="1">
        <f t="array" aca="1" ref="AB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3" s="1" t="str" cm="1">
        <f t="array" aca="1" ref="AC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3" s="1" t="str" cm="1">
        <f t="array" aca="1" ref="AD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3" s="1" t="str" cm="1">
        <f t="array" aca="1" ref="AE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4" spans="1:31">
      <c r="A64" s="1" t="str" cm="1">
        <f t="array" aca="1" ref="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4" s="1" t="str" cm="1">
        <f t="array" aca="1" ref="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4" s="1" t="str" cm="1">
        <f t="array" aca="1" ref="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4" s="1" t="str" cm="1">
        <f t="array" aca="1" ref="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4" s="1" t="str" cm="1">
        <f t="array" aca="1" ref="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4" s="1" t="str" cm="1">
        <f t="array" aca="1" ref="F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4" s="1" t="str" cm="1">
        <f t="array" aca="1" ref="G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4" s="1" t="str" cm="1">
        <f t="array" aca="1" ref="H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4" s="1" t="str" cm="1">
        <f t="array" aca="1" ref="I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4" s="1" t="str" cm="1">
        <f t="array" aca="1" ref="J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4" s="1" t="str" cm="1">
        <f t="array" aca="1" ref="K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4" s="1" t="str" cm="1">
        <f t="array" aca="1" ref="L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4" s="1" t="str" cm="1">
        <f t="array" aca="1" ref="M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4" s="1" t="str" cm="1">
        <f t="array" aca="1" ref="N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4" s="1" t="str" cm="1">
        <f t="array" aca="1" ref="O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4" s="1" t="str" cm="1">
        <f t="array" aca="1" ref="P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4" s="1" t="str" cm="1">
        <f t="array" aca="1" ref="Q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4" s="1" t="str" cm="1">
        <f t="array" aca="1" ref="R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4" s="1" t="str" cm="1">
        <f t="array" aca="1" ref="S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4" s="1" t="str" cm="1">
        <f t="array" aca="1" ref="T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4" s="1" t="str" cm="1">
        <f t="array" aca="1" ref="U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4" s="1" t="str" cm="1">
        <f t="array" aca="1" ref="V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4" s="1" t="str" cm="1">
        <f t="array" aca="1" ref="W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4" s="1" t="str" cm="1">
        <f t="array" aca="1" ref="X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4" s="1" t="str" cm="1">
        <f t="array" aca="1" ref="Y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4" s="1" t="str" cm="1">
        <f t="array" aca="1" ref="Z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4" s="1" t="str" cm="1">
        <f t="array" aca="1" ref="AA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4" s="1" t="str" cm="1">
        <f t="array" aca="1" ref="AB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4" s="1" t="str" cm="1">
        <f t="array" aca="1" ref="AC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4" s="1" t="str" cm="1">
        <f t="array" aca="1" ref="AD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4" s="1" t="str" cm="1">
        <f t="array" aca="1" ref="AE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5" spans="1:31">
      <c r="A65" s="1" t="str" cm="1">
        <f t="array" aca="1" ref="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5" s="1" t="str" cm="1">
        <f t="array" aca="1" ref="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5" s="1" t="str" cm="1">
        <f t="array" aca="1" ref="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5" s="1" t="str" cm="1">
        <f t="array" aca="1" ref="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5" s="1" t="str" cm="1">
        <f t="array" aca="1" ref="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5" s="1" t="str" cm="1">
        <f t="array" aca="1" ref="F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5" s="1" t="str" cm="1">
        <f t="array" aca="1" ref="G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5" s="1" t="str" cm="1">
        <f t="array" aca="1" ref="H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5" s="1" t="str" cm="1">
        <f t="array" aca="1" ref="I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5" s="1" t="str" cm="1">
        <f t="array" aca="1" ref="J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5" s="1" t="str" cm="1">
        <f t="array" aca="1" ref="K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5" s="1" t="str" cm="1">
        <f t="array" aca="1" ref="L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5" s="1" t="str" cm="1">
        <f t="array" aca="1" ref="M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5" s="1" t="str" cm="1">
        <f t="array" aca="1" ref="N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5" s="1" t="str" cm="1">
        <f t="array" aca="1" ref="O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5" s="1" t="str" cm="1">
        <f t="array" aca="1" ref="P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5" s="1" t="str" cm="1">
        <f t="array" aca="1" ref="Q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5" s="1" t="str" cm="1">
        <f t="array" aca="1" ref="R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5" s="1" t="str" cm="1">
        <f t="array" aca="1" ref="S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5" s="1" t="str" cm="1">
        <f t="array" aca="1" ref="T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5" s="1" t="str" cm="1">
        <f t="array" aca="1" ref="U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5" s="1" t="str" cm="1">
        <f t="array" aca="1" ref="V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5" s="1" t="str" cm="1">
        <f t="array" aca="1" ref="W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5" s="1" t="str" cm="1">
        <f t="array" aca="1" ref="X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5" s="1" t="str" cm="1">
        <f t="array" aca="1" ref="Y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5" s="1" t="str" cm="1">
        <f t="array" aca="1" ref="Z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5" s="1" t="str" cm="1">
        <f t="array" aca="1" ref="AA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5" s="1" t="str" cm="1">
        <f t="array" aca="1" ref="AB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5" s="1" t="str" cm="1">
        <f t="array" aca="1" ref="AC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5" s="1" t="str" cm="1">
        <f t="array" aca="1" ref="AD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5" s="1" t="str" cm="1">
        <f t="array" aca="1" ref="AE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6" spans="1:31">
      <c r="A66" s="1" t="str" cm="1">
        <f t="array" aca="1" ref="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6" s="1" t="str" cm="1">
        <f t="array" aca="1" ref="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6" s="1" t="str" cm="1">
        <f t="array" aca="1" ref="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6" s="1" t="str" cm="1">
        <f t="array" aca="1" ref="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6" s="1" t="str" cm="1">
        <f t="array" aca="1" ref="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6" s="1" t="str" cm="1">
        <f t="array" aca="1" ref="F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6" s="1" t="str" cm="1">
        <f t="array" aca="1" ref="G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6" s="1" t="str" cm="1">
        <f t="array" aca="1" ref="H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6" s="1" t="str" cm="1">
        <f t="array" aca="1" ref="I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6" s="1" t="str" cm="1">
        <f t="array" aca="1" ref="J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6" s="1" t="str" cm="1">
        <f t="array" aca="1" ref="K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6" s="1" t="str" cm="1">
        <f t="array" aca="1" ref="L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6" s="1" t="str" cm="1">
        <f t="array" aca="1" ref="M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6" s="1" t="str" cm="1">
        <f t="array" aca="1" ref="N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6" s="1" t="str" cm="1">
        <f t="array" aca="1" ref="O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6" s="1" t="str" cm="1">
        <f t="array" aca="1" ref="P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6" s="1" t="str" cm="1">
        <f t="array" aca="1" ref="Q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6" s="1" t="str" cm="1">
        <f t="array" aca="1" ref="R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6" s="1" t="str" cm="1">
        <f t="array" aca="1" ref="S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6" s="1" t="str" cm="1">
        <f t="array" aca="1" ref="T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6" s="1" t="str" cm="1">
        <f t="array" aca="1" ref="U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6" s="1" t="str" cm="1">
        <f t="array" aca="1" ref="V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6" s="1" t="str" cm="1">
        <f t="array" aca="1" ref="W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6" s="1" t="str" cm="1">
        <f t="array" aca="1" ref="X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6" s="1" t="str" cm="1">
        <f t="array" aca="1" ref="Y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6" s="1" t="str" cm="1">
        <f t="array" aca="1" ref="Z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6" s="1" t="str" cm="1">
        <f t="array" aca="1" ref="AA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6" s="1" t="str" cm="1">
        <f t="array" aca="1" ref="AB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6" s="1" t="str" cm="1">
        <f t="array" aca="1" ref="AC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6" s="1" t="str" cm="1">
        <f t="array" aca="1" ref="AD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6" s="1" t="str" cm="1">
        <f t="array" aca="1" ref="AE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7" spans="1:31">
      <c r="A67" s="1" t="str" cm="1">
        <f t="array" aca="1" ref="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7" s="1" t="str" cm="1">
        <f t="array" aca="1" ref="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7" s="1" t="str" cm="1">
        <f t="array" aca="1" ref="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7" s="1" t="str" cm="1">
        <f t="array" aca="1" ref="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7" s="1" t="str" cm="1">
        <f t="array" aca="1" ref="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7" s="1" t="str" cm="1">
        <f t="array" aca="1" ref="F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7" s="1" t="str" cm="1">
        <f t="array" aca="1" ref="G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7" s="1" t="str" cm="1">
        <f t="array" aca="1" ref="H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7" s="1" t="str" cm="1">
        <f t="array" aca="1" ref="I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7" s="1" t="str" cm="1">
        <f t="array" aca="1" ref="J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7" s="1" t="str" cm="1">
        <f t="array" aca="1" ref="K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7" s="1" t="str" cm="1">
        <f t="array" aca="1" ref="L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7" s="1" t="str" cm="1">
        <f t="array" aca="1" ref="M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7" s="1" t="str" cm="1">
        <f t="array" aca="1" ref="N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7" s="1" t="str" cm="1">
        <f t="array" aca="1" ref="O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7" s="1" t="str" cm="1">
        <f t="array" aca="1" ref="P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7" s="1" t="str" cm="1">
        <f t="array" aca="1" ref="Q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7" s="1" t="str" cm="1">
        <f t="array" aca="1" ref="R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7" s="1" t="str" cm="1">
        <f t="array" aca="1" ref="S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7" s="1" t="str" cm="1">
        <f t="array" aca="1" ref="T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7" s="1" t="str" cm="1">
        <f t="array" aca="1" ref="U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7" s="1" t="str" cm="1">
        <f t="array" aca="1" ref="V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7" s="1" t="str" cm="1">
        <f t="array" aca="1" ref="W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7" s="1" t="str" cm="1">
        <f t="array" aca="1" ref="X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7" s="1" t="str" cm="1">
        <f t="array" aca="1" ref="Y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7" s="1" t="str" cm="1">
        <f t="array" aca="1" ref="Z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7" s="1" t="str" cm="1">
        <f t="array" aca="1" ref="AA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7" s="1" t="str" cm="1">
        <f t="array" aca="1" ref="AB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7" s="1" t="str" cm="1">
        <f t="array" aca="1" ref="AC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7" s="1" t="str" cm="1">
        <f t="array" aca="1" ref="AD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7" s="1" t="str" cm="1">
        <f t="array" aca="1" ref="AE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8" spans="1:31">
      <c r="A68" s="1" t="str" cm="1">
        <f t="array" aca="1" ref="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8" s="1" t="str" cm="1">
        <f t="array" aca="1" ref="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8" s="1" t="str" cm="1">
        <f t="array" aca="1" ref="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8" s="1" t="str" cm="1">
        <f t="array" aca="1" ref="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8" s="1" t="str" cm="1">
        <f t="array" aca="1" ref="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8" s="1" t="str" cm="1">
        <f t="array" aca="1" ref="F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8" s="1" t="str" cm="1">
        <f t="array" aca="1" ref="G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8" s="1" t="str" cm="1">
        <f t="array" aca="1" ref="H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8" s="1" t="str" cm="1">
        <f t="array" aca="1" ref="I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8" s="1" t="str" cm="1">
        <f t="array" aca="1" ref="J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8" s="1" t="str" cm="1">
        <f t="array" aca="1" ref="K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8" s="1" t="str" cm="1">
        <f t="array" aca="1" ref="L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8" s="1" t="str" cm="1">
        <f t="array" aca="1" ref="M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8" s="1" t="str" cm="1">
        <f t="array" aca="1" ref="N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8" s="1" t="str" cm="1">
        <f t="array" aca="1" ref="O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8" s="1" t="str" cm="1">
        <f t="array" aca="1" ref="P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8" s="1" t="str" cm="1">
        <f t="array" aca="1" ref="Q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8" s="1" t="str" cm="1">
        <f t="array" aca="1" ref="R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8" s="1" t="str" cm="1">
        <f t="array" aca="1" ref="S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8" s="1" t="str" cm="1">
        <f t="array" aca="1" ref="T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8" s="1" t="str" cm="1">
        <f t="array" aca="1" ref="U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8" s="1" t="str" cm="1">
        <f t="array" aca="1" ref="V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8" s="1" t="str" cm="1">
        <f t="array" aca="1" ref="W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8" s="1" t="str" cm="1">
        <f t="array" aca="1" ref="X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8" s="1" t="str" cm="1">
        <f t="array" aca="1" ref="Y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8" s="1" t="str" cm="1">
        <f t="array" aca="1" ref="Z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8" s="1" t="str" cm="1">
        <f t="array" aca="1" ref="AA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8" s="1" t="str" cm="1">
        <f t="array" aca="1" ref="AB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8" s="1" t="str" cm="1">
        <f t="array" aca="1" ref="AC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8" s="1" t="str" cm="1">
        <f t="array" aca="1" ref="AD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8" s="1" t="str" cm="1">
        <f t="array" aca="1" ref="AE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69" spans="1:31">
      <c r="A69" s="1" t="str" cm="1">
        <f t="array" aca="1" ref="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69" s="1" t="str" cm="1">
        <f t="array" aca="1" ref="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69" s="1" t="str" cm="1">
        <f t="array" aca="1" ref="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69" s="1" t="str" cm="1">
        <f t="array" aca="1" ref="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69" s="1" t="str" cm="1">
        <f t="array" aca="1" ref="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69" s="1" t="str" cm="1">
        <f t="array" aca="1" ref="F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69" s="1" t="str" cm="1">
        <f t="array" aca="1" ref="G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69" s="1" t="str" cm="1">
        <f t="array" aca="1" ref="H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69" s="1" t="str" cm="1">
        <f t="array" aca="1" ref="I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69" s="1" t="str" cm="1">
        <f t="array" aca="1" ref="J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69" s="1" t="str" cm="1">
        <f t="array" aca="1" ref="K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69" s="1" t="str" cm="1">
        <f t="array" aca="1" ref="L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69" s="1" t="str" cm="1">
        <f t="array" aca="1" ref="M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69" s="1" t="str" cm="1">
        <f t="array" aca="1" ref="N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69" s="1" t="str" cm="1">
        <f t="array" aca="1" ref="O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69" s="1" t="str" cm="1">
        <f t="array" aca="1" ref="P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69" s="1" t="str" cm="1">
        <f t="array" aca="1" ref="Q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69" s="1" t="str" cm="1">
        <f t="array" aca="1" ref="R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69" s="1" t="str" cm="1">
        <f t="array" aca="1" ref="S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69" s="1" t="str" cm="1">
        <f t="array" aca="1" ref="T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69" s="1" t="str" cm="1">
        <f t="array" aca="1" ref="U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69" s="1" t="str" cm="1">
        <f t="array" aca="1" ref="V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69" s="1" t="str" cm="1">
        <f t="array" aca="1" ref="W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69" s="1" t="str" cm="1">
        <f t="array" aca="1" ref="X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69" s="1" t="str" cm="1">
        <f t="array" aca="1" ref="Y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69" s="1" t="str" cm="1">
        <f t="array" aca="1" ref="Z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69" s="1" t="str" cm="1">
        <f t="array" aca="1" ref="AA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69" s="1" t="str" cm="1">
        <f t="array" aca="1" ref="AB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69" s="1" t="str" cm="1">
        <f t="array" aca="1" ref="AC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69" s="1" t="str" cm="1">
        <f t="array" aca="1" ref="AD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69" s="1" t="str" cm="1">
        <f t="array" aca="1" ref="AE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0" spans="1:31">
      <c r="A70" s="1" t="str" cm="1">
        <f t="array" aca="1" ref="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0" s="1" t="str" cm="1">
        <f t="array" aca="1" ref="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0" s="1" t="str" cm="1">
        <f t="array" aca="1" ref="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0" s="1" t="str" cm="1">
        <f t="array" aca="1" ref="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0" s="1" t="str" cm="1">
        <f t="array" aca="1" ref="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0" s="1" t="str" cm="1">
        <f t="array" aca="1" ref="F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0" s="1" t="str" cm="1">
        <f t="array" aca="1" ref="G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0" s="1" t="str" cm="1">
        <f t="array" aca="1" ref="H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0" s="1" t="str" cm="1">
        <f t="array" aca="1" ref="I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0" s="1" t="str" cm="1">
        <f t="array" aca="1" ref="J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0" s="1" t="str" cm="1">
        <f t="array" aca="1" ref="K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0" s="1" t="str" cm="1">
        <f t="array" aca="1" ref="L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0" s="1" t="str" cm="1">
        <f t="array" aca="1" ref="M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0" s="1" t="str" cm="1">
        <f t="array" aca="1" ref="N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0" s="1" t="str" cm="1">
        <f t="array" aca="1" ref="O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0" s="1" t="str" cm="1">
        <f t="array" aca="1" ref="P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0" s="1" t="str" cm="1">
        <f t="array" aca="1" ref="Q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0" s="1" t="str" cm="1">
        <f t="array" aca="1" ref="R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0" s="1" t="str" cm="1">
        <f t="array" aca="1" ref="S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0" s="1" t="str" cm="1">
        <f t="array" aca="1" ref="T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0" s="1" t="str" cm="1">
        <f t="array" aca="1" ref="U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0" s="1" t="str" cm="1">
        <f t="array" aca="1" ref="V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0" s="1" t="str" cm="1">
        <f t="array" aca="1" ref="W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0" s="1" t="str" cm="1">
        <f t="array" aca="1" ref="X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0" s="1" t="str" cm="1">
        <f t="array" aca="1" ref="Y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0" s="1" t="str" cm="1">
        <f t="array" aca="1" ref="Z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0" s="1" t="str" cm="1">
        <f t="array" aca="1" ref="AA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0" s="1" t="str" cm="1">
        <f t="array" aca="1" ref="AB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0" s="1" t="str" cm="1">
        <f t="array" aca="1" ref="AC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0" s="1" t="str" cm="1">
        <f t="array" aca="1" ref="AD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0" s="1" t="str" cm="1">
        <f t="array" aca="1" ref="AE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1" spans="1:31">
      <c r="A71" s="1" t="str" cm="1">
        <f t="array" aca="1" ref="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1" s="1" t="str" cm="1">
        <f t="array" aca="1" ref="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1" s="1" t="str" cm="1">
        <f t="array" aca="1" ref="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1" s="1" t="str" cm="1">
        <f t="array" aca="1" ref="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1" s="1" t="str" cm="1">
        <f t="array" aca="1" ref="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1" s="1" t="str" cm="1">
        <f t="array" aca="1" ref="F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1" s="1" t="str" cm="1">
        <f t="array" aca="1" ref="G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1" s="1" t="str" cm="1">
        <f t="array" aca="1" ref="H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1" s="1" t="str" cm="1">
        <f t="array" aca="1" ref="I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1" s="1" t="str" cm="1">
        <f t="array" aca="1" ref="J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1" s="1" t="str" cm="1">
        <f t="array" aca="1" ref="K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1" s="1" t="str" cm="1">
        <f t="array" aca="1" ref="L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1" s="1" t="str" cm="1">
        <f t="array" aca="1" ref="M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1" s="1" t="str" cm="1">
        <f t="array" aca="1" ref="N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1" s="1" t="str" cm="1">
        <f t="array" aca="1" ref="O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1" s="1" t="str" cm="1">
        <f t="array" aca="1" ref="P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1" s="1" t="str" cm="1">
        <f t="array" aca="1" ref="Q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1" s="1" t="str" cm="1">
        <f t="array" aca="1" ref="R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1" s="1" t="str" cm="1">
        <f t="array" aca="1" ref="S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1" s="1" t="str" cm="1">
        <f t="array" aca="1" ref="T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1" s="1" t="str" cm="1">
        <f t="array" aca="1" ref="U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1" s="1" t="str" cm="1">
        <f t="array" aca="1" ref="V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1" s="1" t="str" cm="1">
        <f t="array" aca="1" ref="W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1" s="1" t="str" cm="1">
        <f t="array" aca="1" ref="X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1" s="1" t="str" cm="1">
        <f t="array" aca="1" ref="Y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1" s="1" t="str" cm="1">
        <f t="array" aca="1" ref="Z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1" s="1" t="str" cm="1">
        <f t="array" aca="1" ref="AA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1" s="1" t="str" cm="1">
        <f t="array" aca="1" ref="AB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1" s="1" t="str" cm="1">
        <f t="array" aca="1" ref="AC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1" s="1" t="str" cm="1">
        <f t="array" aca="1" ref="AD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1" s="1" t="str" cm="1">
        <f t="array" aca="1" ref="AE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2" spans="1:31">
      <c r="A72" s="1" t="str" cm="1">
        <f t="array" aca="1" ref="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2" s="1" t="str" cm="1">
        <f t="array" aca="1" ref="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2" s="1" t="str" cm="1">
        <f t="array" aca="1" ref="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2" s="1" t="str" cm="1">
        <f t="array" aca="1" ref="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2" s="1" t="str" cm="1">
        <f t="array" aca="1" ref="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2" s="1" t="str" cm="1">
        <f t="array" aca="1" ref="F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2" s="1" t="str" cm="1">
        <f t="array" aca="1" ref="G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2" s="1" t="str" cm="1">
        <f t="array" aca="1" ref="H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2" s="1" t="str" cm="1">
        <f t="array" aca="1" ref="I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2" s="1" t="str" cm="1">
        <f t="array" aca="1" ref="J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2" s="1" t="str" cm="1">
        <f t="array" aca="1" ref="K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2" s="1" t="str" cm="1">
        <f t="array" aca="1" ref="L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2" s="1" t="str" cm="1">
        <f t="array" aca="1" ref="M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2" s="1" t="str" cm="1">
        <f t="array" aca="1" ref="N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2" s="1" t="str" cm="1">
        <f t="array" aca="1" ref="O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2" s="1" t="str" cm="1">
        <f t="array" aca="1" ref="P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2" s="1" t="str" cm="1">
        <f t="array" aca="1" ref="Q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2" s="1" t="str" cm="1">
        <f t="array" aca="1" ref="R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2" s="1" t="str" cm="1">
        <f t="array" aca="1" ref="S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2" s="1" t="str" cm="1">
        <f t="array" aca="1" ref="T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2" s="1" t="str" cm="1">
        <f t="array" aca="1" ref="U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2" s="1" t="str" cm="1">
        <f t="array" aca="1" ref="V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2" s="1" t="str" cm="1">
        <f t="array" aca="1" ref="W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2" s="1" t="str" cm="1">
        <f t="array" aca="1" ref="X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2" s="1" t="str" cm="1">
        <f t="array" aca="1" ref="Y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2" s="1" t="str" cm="1">
        <f t="array" aca="1" ref="Z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2" s="1" t="str" cm="1">
        <f t="array" aca="1" ref="AA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2" s="1" t="str" cm="1">
        <f t="array" aca="1" ref="AB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2" s="1" t="str" cm="1">
        <f t="array" aca="1" ref="AC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2" s="1" t="str" cm="1">
        <f t="array" aca="1" ref="AD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2" s="1" t="str" cm="1">
        <f t="array" aca="1" ref="AE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3" spans="1:31">
      <c r="A73" s="1" t="str" cm="1">
        <f t="array" aca="1" ref="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3" s="1" t="str" cm="1">
        <f t="array" aca="1" ref="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3" s="1" t="str" cm="1">
        <f t="array" aca="1" ref="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3" s="1" t="str" cm="1">
        <f t="array" aca="1" ref="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3" s="1" t="str" cm="1">
        <f t="array" aca="1" ref="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3" s="1" t="str" cm="1">
        <f t="array" aca="1" ref="F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3" s="1" t="str" cm="1">
        <f t="array" aca="1" ref="G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3" s="1" t="str" cm="1">
        <f t="array" aca="1" ref="H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3" s="1" t="str" cm="1">
        <f t="array" aca="1" ref="I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3" s="1" t="str" cm="1">
        <f t="array" aca="1" ref="J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3" s="1" t="str" cm="1">
        <f t="array" aca="1" ref="K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3" s="1" t="str" cm="1">
        <f t="array" aca="1" ref="L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3" s="1" t="str" cm="1">
        <f t="array" aca="1" ref="M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3" s="1" t="str" cm="1">
        <f t="array" aca="1" ref="N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3" s="1" t="str" cm="1">
        <f t="array" aca="1" ref="O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3" s="1" t="str" cm="1">
        <f t="array" aca="1" ref="P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3" s="1" t="str" cm="1">
        <f t="array" aca="1" ref="Q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3" s="1" t="str" cm="1">
        <f t="array" aca="1" ref="R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3" s="1" t="str" cm="1">
        <f t="array" aca="1" ref="S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3" s="1" t="str" cm="1">
        <f t="array" aca="1" ref="T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3" s="1" t="str" cm="1">
        <f t="array" aca="1" ref="U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3" s="1" t="str" cm="1">
        <f t="array" aca="1" ref="V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3" s="1" t="str" cm="1">
        <f t="array" aca="1" ref="W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3" s="1" t="str" cm="1">
        <f t="array" aca="1" ref="X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3" s="1" t="str" cm="1">
        <f t="array" aca="1" ref="Y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3" s="1" t="str" cm="1">
        <f t="array" aca="1" ref="Z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3" s="1" t="str" cm="1">
        <f t="array" aca="1" ref="AA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3" s="1" t="str" cm="1">
        <f t="array" aca="1" ref="AB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3" s="1" t="str" cm="1">
        <f t="array" aca="1" ref="AC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3" s="1" t="str" cm="1">
        <f t="array" aca="1" ref="AD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3" s="1" t="str" cm="1">
        <f t="array" aca="1" ref="AE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4" spans="1:31">
      <c r="A74" s="1" t="str" cm="1">
        <f t="array" aca="1" ref="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4" s="1" t="str" cm="1">
        <f t="array" aca="1" ref="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4" s="1" t="str" cm="1">
        <f t="array" aca="1" ref="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4" s="1" t="str" cm="1">
        <f t="array" aca="1" ref="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4" s="1" t="str" cm="1">
        <f t="array" aca="1" ref="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4" s="1" t="str" cm="1">
        <f t="array" aca="1" ref="F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4" s="1" t="str" cm="1">
        <f t="array" aca="1" ref="G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4" s="1" t="str" cm="1">
        <f t="array" aca="1" ref="H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4" s="1" t="str" cm="1">
        <f t="array" aca="1" ref="I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4" s="1" t="str" cm="1">
        <f t="array" aca="1" ref="J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4" s="1" t="str" cm="1">
        <f t="array" aca="1" ref="K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4" s="1" t="str" cm="1">
        <f t="array" aca="1" ref="L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4" s="1" t="str" cm="1">
        <f t="array" aca="1" ref="M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4" s="1" t="str" cm="1">
        <f t="array" aca="1" ref="N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4" s="1" t="str" cm="1">
        <f t="array" aca="1" ref="O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4" s="1" t="str" cm="1">
        <f t="array" aca="1" ref="P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4" s="1" t="str" cm="1">
        <f t="array" aca="1" ref="Q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4" s="1" t="str" cm="1">
        <f t="array" aca="1" ref="R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4" s="1" t="str" cm="1">
        <f t="array" aca="1" ref="S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4" s="1" t="str" cm="1">
        <f t="array" aca="1" ref="T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4" s="1" t="str" cm="1">
        <f t="array" aca="1" ref="U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4" s="1" t="str" cm="1">
        <f t="array" aca="1" ref="V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4" s="1" t="str" cm="1">
        <f t="array" aca="1" ref="W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4" s="1" t="str" cm="1">
        <f t="array" aca="1" ref="X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4" s="1" t="str" cm="1">
        <f t="array" aca="1" ref="Y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4" s="1" t="str" cm="1">
        <f t="array" aca="1" ref="Z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4" s="1" t="str" cm="1">
        <f t="array" aca="1" ref="AA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4" s="1" t="str" cm="1">
        <f t="array" aca="1" ref="AB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4" s="1" t="str" cm="1">
        <f t="array" aca="1" ref="AC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4" s="1" t="str" cm="1">
        <f t="array" aca="1" ref="AD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4" s="1" t="str" cm="1">
        <f t="array" aca="1" ref="AE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5" spans="1:31">
      <c r="A75" s="1" t="str" cm="1">
        <f t="array" aca="1" ref="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5" s="1" t="str" cm="1">
        <f t="array" aca="1" ref="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5" s="1" t="str" cm="1">
        <f t="array" aca="1" ref="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5" s="1" t="str" cm="1">
        <f t="array" aca="1" ref="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5" s="1" t="str" cm="1">
        <f t="array" aca="1" ref="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5" s="1" t="str" cm="1">
        <f t="array" aca="1" ref="F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5" s="1" t="str" cm="1">
        <f t="array" aca="1" ref="G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5" s="1" t="str" cm="1">
        <f t="array" aca="1" ref="H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5" s="1" t="str" cm="1">
        <f t="array" aca="1" ref="I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5" s="1" t="str" cm="1">
        <f t="array" aca="1" ref="J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5" s="1" t="str" cm="1">
        <f t="array" aca="1" ref="K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5" s="1" t="str" cm="1">
        <f t="array" aca="1" ref="L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5" s="1" t="str" cm="1">
        <f t="array" aca="1" ref="M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5" s="1" t="str" cm="1">
        <f t="array" aca="1" ref="N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5" s="1" t="str" cm="1">
        <f t="array" aca="1" ref="O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5" s="1" t="str" cm="1">
        <f t="array" aca="1" ref="P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5" s="1" t="str" cm="1">
        <f t="array" aca="1" ref="Q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5" s="1" t="str" cm="1">
        <f t="array" aca="1" ref="R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5" s="1" t="str" cm="1">
        <f t="array" aca="1" ref="S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5" s="1" t="str" cm="1">
        <f t="array" aca="1" ref="T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5" s="1" t="str" cm="1">
        <f t="array" aca="1" ref="U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5" s="1" t="str" cm="1">
        <f t="array" aca="1" ref="V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5" s="1" t="str" cm="1">
        <f t="array" aca="1" ref="W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5" s="1" t="str" cm="1">
        <f t="array" aca="1" ref="X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5" s="1" t="str" cm="1">
        <f t="array" aca="1" ref="Y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5" s="1" t="str" cm="1">
        <f t="array" aca="1" ref="Z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5" s="1" t="str" cm="1">
        <f t="array" aca="1" ref="AA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5" s="1" t="str" cm="1">
        <f t="array" aca="1" ref="AB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5" s="1" t="str" cm="1">
        <f t="array" aca="1" ref="AC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5" s="1" t="str" cm="1">
        <f t="array" aca="1" ref="AD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5" s="1" t="str" cm="1">
        <f t="array" aca="1" ref="AE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6" spans="1:31">
      <c r="A76" s="1" t="str" cm="1">
        <f t="array" aca="1" ref="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6" s="1" t="str" cm="1">
        <f t="array" aca="1" ref="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6" s="1" t="str" cm="1">
        <f t="array" aca="1" ref="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6" s="1" t="str" cm="1">
        <f t="array" aca="1" ref="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6" s="1" t="str" cm="1">
        <f t="array" aca="1" ref="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6" s="1" t="str" cm="1">
        <f t="array" aca="1" ref="F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6" s="1" t="str" cm="1">
        <f t="array" aca="1" ref="G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6" s="1" t="str" cm="1">
        <f t="array" aca="1" ref="H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6" s="1" t="str" cm="1">
        <f t="array" aca="1" ref="I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6" s="1" t="str" cm="1">
        <f t="array" aca="1" ref="J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6" s="1" t="str" cm="1">
        <f t="array" aca="1" ref="K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6" s="1" t="str" cm="1">
        <f t="array" aca="1" ref="L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6" s="1" t="str" cm="1">
        <f t="array" aca="1" ref="M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6" s="1" t="str" cm="1">
        <f t="array" aca="1" ref="N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6" s="1" t="str" cm="1">
        <f t="array" aca="1" ref="O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6" s="1" t="str" cm="1">
        <f t="array" aca="1" ref="P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6" s="1" t="str" cm="1">
        <f t="array" aca="1" ref="Q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6" s="1" t="str" cm="1">
        <f t="array" aca="1" ref="R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6" s="1" t="str" cm="1">
        <f t="array" aca="1" ref="S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6" s="1" t="str" cm="1">
        <f t="array" aca="1" ref="T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6" s="1" t="str" cm="1">
        <f t="array" aca="1" ref="U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6" s="1" t="str" cm="1">
        <f t="array" aca="1" ref="V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6" s="1" t="str" cm="1">
        <f t="array" aca="1" ref="W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6" s="1" t="str" cm="1">
        <f t="array" aca="1" ref="X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6" s="1" t="str" cm="1">
        <f t="array" aca="1" ref="Y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6" s="1" t="str" cm="1">
        <f t="array" aca="1" ref="Z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6" s="1" t="str" cm="1">
        <f t="array" aca="1" ref="AA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6" s="1" t="str" cm="1">
        <f t="array" aca="1" ref="AB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6" s="1" t="str" cm="1">
        <f t="array" aca="1" ref="AC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6" s="1" t="str" cm="1">
        <f t="array" aca="1" ref="AD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6" s="1" t="str" cm="1">
        <f t="array" aca="1" ref="AE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7" spans="1:31">
      <c r="A77" s="1" t="str" cm="1">
        <f t="array" aca="1" ref="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7" s="1" t="str" cm="1">
        <f t="array" aca="1" ref="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7" s="1" t="str" cm="1">
        <f t="array" aca="1" ref="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7" s="1" t="str" cm="1">
        <f t="array" aca="1" ref="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7" s="1" t="str" cm="1">
        <f t="array" aca="1" ref="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7" s="1" t="str" cm="1">
        <f t="array" aca="1" ref="F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7" s="1" t="str" cm="1">
        <f t="array" aca="1" ref="G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7" s="1" t="str" cm="1">
        <f t="array" aca="1" ref="H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7" s="1" t="str" cm="1">
        <f t="array" aca="1" ref="I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7" s="1" t="str" cm="1">
        <f t="array" aca="1" ref="J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7" s="1" t="str" cm="1">
        <f t="array" aca="1" ref="K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7" s="1" t="str" cm="1">
        <f t="array" aca="1" ref="L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7" s="1" t="str" cm="1">
        <f t="array" aca="1" ref="M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7" s="1" t="str" cm="1">
        <f t="array" aca="1" ref="N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7" s="1" t="str" cm="1">
        <f t="array" aca="1" ref="O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7" s="1" t="str" cm="1">
        <f t="array" aca="1" ref="P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7" s="1" t="str" cm="1">
        <f t="array" aca="1" ref="Q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7" s="1" t="str" cm="1">
        <f t="array" aca="1" ref="R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7" s="1" t="str" cm="1">
        <f t="array" aca="1" ref="S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7" s="1" t="str" cm="1">
        <f t="array" aca="1" ref="T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7" s="1" t="str" cm="1">
        <f t="array" aca="1" ref="U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7" s="1" t="str" cm="1">
        <f t="array" aca="1" ref="V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7" s="1" t="str" cm="1">
        <f t="array" aca="1" ref="W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7" s="1" t="str" cm="1">
        <f t="array" aca="1" ref="X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7" s="1" t="str" cm="1">
        <f t="array" aca="1" ref="Y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7" s="1" t="str" cm="1">
        <f t="array" aca="1" ref="Z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7" s="1" t="str" cm="1">
        <f t="array" aca="1" ref="AA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7" s="1" t="str" cm="1">
        <f t="array" aca="1" ref="AB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7" s="1" t="str" cm="1">
        <f t="array" aca="1" ref="AC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7" s="1" t="str" cm="1">
        <f t="array" aca="1" ref="AD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7" s="1" t="str" cm="1">
        <f t="array" aca="1" ref="AE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8" spans="1:31">
      <c r="A78" s="1" t="str" cm="1">
        <f t="array" aca="1" ref="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8" s="1" t="str" cm="1">
        <f t="array" aca="1" ref="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8" s="1" t="str" cm="1">
        <f t="array" aca="1" ref="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8" s="1" t="str" cm="1">
        <f t="array" aca="1" ref="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8" s="1" t="str" cm="1">
        <f t="array" aca="1" ref="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8" s="1" t="str" cm="1">
        <f t="array" aca="1" ref="F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8" s="1" t="str" cm="1">
        <f t="array" aca="1" ref="G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8" s="1" t="str" cm="1">
        <f t="array" aca="1" ref="H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8" s="1" t="str" cm="1">
        <f t="array" aca="1" ref="I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8" s="1" t="str" cm="1">
        <f t="array" aca="1" ref="J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8" s="1" t="str" cm="1">
        <f t="array" aca="1" ref="K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8" s="1" t="str" cm="1">
        <f t="array" aca="1" ref="L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8" s="1" t="str" cm="1">
        <f t="array" aca="1" ref="M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8" s="1" t="str" cm="1">
        <f t="array" aca="1" ref="N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8" s="1" t="str" cm="1">
        <f t="array" aca="1" ref="O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8" s="1" t="str" cm="1">
        <f t="array" aca="1" ref="P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8" s="1" t="str" cm="1">
        <f t="array" aca="1" ref="Q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8" s="1" t="str" cm="1">
        <f t="array" aca="1" ref="R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8" s="1" t="str" cm="1">
        <f t="array" aca="1" ref="S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8" s="1" t="str" cm="1">
        <f t="array" aca="1" ref="T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8" s="1" t="str" cm="1">
        <f t="array" aca="1" ref="U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8" s="1" t="str" cm="1">
        <f t="array" aca="1" ref="V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8" s="1" t="str" cm="1">
        <f t="array" aca="1" ref="W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8" s="1" t="str" cm="1">
        <f t="array" aca="1" ref="X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8" s="1" t="str" cm="1">
        <f t="array" aca="1" ref="Y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8" s="1" t="str" cm="1">
        <f t="array" aca="1" ref="Z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8" s="1" t="str" cm="1">
        <f t="array" aca="1" ref="AA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8" s="1" t="str" cm="1">
        <f t="array" aca="1" ref="AB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8" s="1" t="str" cm="1">
        <f t="array" aca="1" ref="AC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8" s="1" t="str" cm="1">
        <f t="array" aca="1" ref="AD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8" s="1" t="str" cm="1">
        <f t="array" aca="1" ref="AE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79" spans="1:31">
      <c r="A79" s="1" t="str" cm="1">
        <f t="array" aca="1" ref="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79" s="1" t="str" cm="1">
        <f t="array" aca="1" ref="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79" s="1" t="str" cm="1">
        <f t="array" aca="1" ref="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79" s="1" t="str" cm="1">
        <f t="array" aca="1" ref="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79" s="1" t="str" cm="1">
        <f t="array" aca="1" ref="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79" s="1" t="str" cm="1">
        <f t="array" aca="1" ref="F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79" s="1" t="str" cm="1">
        <f t="array" aca="1" ref="G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79" s="1" t="str" cm="1">
        <f t="array" aca="1" ref="H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79" s="1" t="str" cm="1">
        <f t="array" aca="1" ref="I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79" s="1" t="str" cm="1">
        <f t="array" aca="1" ref="J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79" s="1" t="str" cm="1">
        <f t="array" aca="1" ref="K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79" s="1" t="str" cm="1">
        <f t="array" aca="1" ref="L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79" s="1" t="str" cm="1">
        <f t="array" aca="1" ref="M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79" s="1" t="str" cm="1">
        <f t="array" aca="1" ref="N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79" s="1" t="str" cm="1">
        <f t="array" aca="1" ref="O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79" s="1" t="str" cm="1">
        <f t="array" aca="1" ref="P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79" s="1" t="str" cm="1">
        <f t="array" aca="1" ref="Q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79" s="1" t="str" cm="1">
        <f t="array" aca="1" ref="R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79" s="1" t="str" cm="1">
        <f t="array" aca="1" ref="S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79" s="1" t="str" cm="1">
        <f t="array" aca="1" ref="T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79" s="1" t="str" cm="1">
        <f t="array" aca="1" ref="U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79" s="1" t="str" cm="1">
        <f t="array" aca="1" ref="V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79" s="1" t="str" cm="1">
        <f t="array" aca="1" ref="W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79" s="1" t="str" cm="1">
        <f t="array" aca="1" ref="X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79" s="1" t="str" cm="1">
        <f t="array" aca="1" ref="Y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79" s="1" t="str" cm="1">
        <f t="array" aca="1" ref="Z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79" s="1" t="str" cm="1">
        <f t="array" aca="1" ref="AA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79" s="1" t="str" cm="1">
        <f t="array" aca="1" ref="AB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79" s="1" t="str" cm="1">
        <f t="array" aca="1" ref="AC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79" s="1" t="str" cm="1">
        <f t="array" aca="1" ref="AD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79" s="1" t="str" cm="1">
        <f t="array" aca="1" ref="AE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0" spans="1:31">
      <c r="A80" s="1" t="str" cm="1">
        <f t="array" aca="1" ref="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0" s="1" t="str" cm="1">
        <f t="array" aca="1" ref="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0" s="1" t="str" cm="1">
        <f t="array" aca="1" ref="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0" s="1" t="str" cm="1">
        <f t="array" aca="1" ref="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0" s="1" t="str" cm="1">
        <f t="array" aca="1" ref="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0" s="1" t="str" cm="1">
        <f t="array" aca="1" ref="F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0" s="1" t="str" cm="1">
        <f t="array" aca="1" ref="G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0" s="1" t="str" cm="1">
        <f t="array" aca="1" ref="H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0" s="1" t="str" cm="1">
        <f t="array" aca="1" ref="I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0" s="1" t="str" cm="1">
        <f t="array" aca="1" ref="J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0" s="1" t="str" cm="1">
        <f t="array" aca="1" ref="K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0" s="1" t="str" cm="1">
        <f t="array" aca="1" ref="L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0" s="1" t="str" cm="1">
        <f t="array" aca="1" ref="M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0" s="1" t="str" cm="1">
        <f t="array" aca="1" ref="N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0" s="1" t="str" cm="1">
        <f t="array" aca="1" ref="O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0" s="1" t="str" cm="1">
        <f t="array" aca="1" ref="P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0" s="1" t="str" cm="1">
        <f t="array" aca="1" ref="Q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0" s="1" t="str" cm="1">
        <f t="array" aca="1" ref="R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0" s="1" t="str" cm="1">
        <f t="array" aca="1" ref="S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0" s="1" t="str" cm="1">
        <f t="array" aca="1" ref="T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0" s="1" t="str" cm="1">
        <f t="array" aca="1" ref="U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0" s="1" t="str" cm="1">
        <f t="array" aca="1" ref="V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0" s="1" t="str" cm="1">
        <f t="array" aca="1" ref="W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0" s="1" t="str" cm="1">
        <f t="array" aca="1" ref="X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0" s="1" t="str" cm="1">
        <f t="array" aca="1" ref="Y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0" s="1" t="str" cm="1">
        <f t="array" aca="1" ref="Z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0" s="1" t="str" cm="1">
        <f t="array" aca="1" ref="AA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0" s="1" t="str" cm="1">
        <f t="array" aca="1" ref="AB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0" s="1" t="str" cm="1">
        <f t="array" aca="1" ref="AC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0" s="1" t="str" cm="1">
        <f t="array" aca="1" ref="AD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0" s="1" t="str" cm="1">
        <f t="array" aca="1" ref="AE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1" spans="1:31">
      <c r="A81" s="1" t="str" cm="1">
        <f t="array" aca="1" ref="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1" s="1" t="str" cm="1">
        <f t="array" aca="1" ref="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1" s="1" t="str" cm="1">
        <f t="array" aca="1" ref="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1" s="1" t="str" cm="1">
        <f t="array" aca="1" ref="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1" s="1" t="str" cm="1">
        <f t="array" aca="1" ref="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1" s="1" t="str" cm="1">
        <f t="array" aca="1" ref="F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1" s="1" t="str" cm="1">
        <f t="array" aca="1" ref="G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1" s="1" t="str" cm="1">
        <f t="array" aca="1" ref="H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1" s="1" t="str" cm="1">
        <f t="array" aca="1" ref="I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1" s="1" t="str" cm="1">
        <f t="array" aca="1" ref="J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1" s="1" t="str" cm="1">
        <f t="array" aca="1" ref="K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1" s="1" t="str" cm="1">
        <f t="array" aca="1" ref="L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1" s="1" t="str" cm="1">
        <f t="array" aca="1" ref="M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1" s="1" t="str" cm="1">
        <f t="array" aca="1" ref="N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1" s="1" t="str" cm="1">
        <f t="array" aca="1" ref="O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1" s="1" t="str" cm="1">
        <f t="array" aca="1" ref="P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1" s="1" t="str" cm="1">
        <f t="array" aca="1" ref="Q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1" s="1" t="str" cm="1">
        <f t="array" aca="1" ref="R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1" s="1" t="str" cm="1">
        <f t="array" aca="1" ref="S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1" s="1" t="str" cm="1">
        <f t="array" aca="1" ref="T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1" s="1" t="str" cm="1">
        <f t="array" aca="1" ref="U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1" s="1" t="str" cm="1">
        <f t="array" aca="1" ref="V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1" s="1" t="str" cm="1">
        <f t="array" aca="1" ref="W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1" s="1" t="str" cm="1">
        <f t="array" aca="1" ref="X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1" s="1" t="str" cm="1">
        <f t="array" aca="1" ref="Y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1" s="1" t="str" cm="1">
        <f t="array" aca="1" ref="Z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1" s="1" t="str" cm="1">
        <f t="array" aca="1" ref="AA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1" s="1" t="str" cm="1">
        <f t="array" aca="1" ref="AB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1" s="1" t="str" cm="1">
        <f t="array" aca="1" ref="AC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1" s="1" t="str" cm="1">
        <f t="array" aca="1" ref="AD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1" s="1" t="str" cm="1">
        <f t="array" aca="1" ref="AE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2" spans="1:31">
      <c r="A82" s="1" t="str" cm="1">
        <f t="array" aca="1" ref="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2" s="1" t="str" cm="1">
        <f t="array" aca="1" ref="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2" s="1" t="str" cm="1">
        <f t="array" aca="1" ref="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2" s="1" t="str" cm="1">
        <f t="array" aca="1" ref="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2" s="1" t="str" cm="1">
        <f t="array" aca="1" ref="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2" s="1" t="str" cm="1">
        <f t="array" aca="1" ref="F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2" s="1" t="str" cm="1">
        <f t="array" aca="1" ref="G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2" s="1" t="str" cm="1">
        <f t="array" aca="1" ref="H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2" s="1" t="str" cm="1">
        <f t="array" aca="1" ref="I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2" s="1" t="str" cm="1">
        <f t="array" aca="1" ref="J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2" s="1" t="str" cm="1">
        <f t="array" aca="1" ref="K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2" s="1" t="str" cm="1">
        <f t="array" aca="1" ref="L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2" s="1" t="str" cm="1">
        <f t="array" aca="1" ref="M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2" s="1" t="str" cm="1">
        <f t="array" aca="1" ref="N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2" s="1" t="str" cm="1">
        <f t="array" aca="1" ref="O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2" s="1" t="str" cm="1">
        <f t="array" aca="1" ref="P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2" s="1" t="str" cm="1">
        <f t="array" aca="1" ref="Q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2" s="1" t="str" cm="1">
        <f t="array" aca="1" ref="R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2" s="1" t="str" cm="1">
        <f t="array" aca="1" ref="S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2" s="1" t="str" cm="1">
        <f t="array" aca="1" ref="T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2" s="1" t="str" cm="1">
        <f t="array" aca="1" ref="U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2" s="1" t="str" cm="1">
        <f t="array" aca="1" ref="V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2" s="1" t="str" cm="1">
        <f t="array" aca="1" ref="W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2" s="1" t="str" cm="1">
        <f t="array" aca="1" ref="X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2" s="1" t="str" cm="1">
        <f t="array" aca="1" ref="Y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2" s="1" t="str" cm="1">
        <f t="array" aca="1" ref="Z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2" s="1" t="str" cm="1">
        <f t="array" aca="1" ref="AA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2" s="1" t="str" cm="1">
        <f t="array" aca="1" ref="AB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2" s="1" t="str" cm="1">
        <f t="array" aca="1" ref="AC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2" s="1" t="str" cm="1">
        <f t="array" aca="1" ref="AD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2" s="1" t="str" cm="1">
        <f t="array" aca="1" ref="AE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3" spans="1:31">
      <c r="A83" s="1" t="str" cm="1">
        <f t="array" aca="1" ref="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3" s="1" t="str" cm="1">
        <f t="array" aca="1" ref="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3" s="1" t="str" cm="1">
        <f t="array" aca="1" ref="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3" s="1" t="str" cm="1">
        <f t="array" aca="1" ref="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3" s="1" t="str" cm="1">
        <f t="array" aca="1" ref="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3" s="1" t="str" cm="1">
        <f t="array" aca="1" ref="F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3" s="1" t="str" cm="1">
        <f t="array" aca="1" ref="G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3" s="1" t="str" cm="1">
        <f t="array" aca="1" ref="H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3" s="1" t="str" cm="1">
        <f t="array" aca="1" ref="I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3" s="1" t="str" cm="1">
        <f t="array" aca="1" ref="J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3" s="1" t="str" cm="1">
        <f t="array" aca="1" ref="K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3" s="1" t="str" cm="1">
        <f t="array" aca="1" ref="L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3" s="1" t="str" cm="1">
        <f t="array" aca="1" ref="M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3" s="1" t="str" cm="1">
        <f t="array" aca="1" ref="N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3" s="1" t="str" cm="1">
        <f t="array" aca="1" ref="O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3" s="1" t="str" cm="1">
        <f t="array" aca="1" ref="P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3" s="1" t="str" cm="1">
        <f t="array" aca="1" ref="Q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3" s="1" t="str" cm="1">
        <f t="array" aca="1" ref="R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3" s="1" t="str" cm="1">
        <f t="array" aca="1" ref="S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3" s="1" t="str" cm="1">
        <f t="array" aca="1" ref="T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3" s="1" t="str" cm="1">
        <f t="array" aca="1" ref="U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3" s="1" t="str" cm="1">
        <f t="array" aca="1" ref="V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3" s="1" t="str" cm="1">
        <f t="array" aca="1" ref="W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3" s="1" t="str" cm="1">
        <f t="array" aca="1" ref="X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3" s="1" t="str" cm="1">
        <f t="array" aca="1" ref="Y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3" s="1" t="str" cm="1">
        <f t="array" aca="1" ref="Z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3" s="1" t="str" cm="1">
        <f t="array" aca="1" ref="AA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3" s="1" t="str" cm="1">
        <f t="array" aca="1" ref="AB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3" s="1" t="str" cm="1">
        <f t="array" aca="1" ref="AC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3" s="1" t="str" cm="1">
        <f t="array" aca="1" ref="AD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3" s="1" t="str" cm="1">
        <f t="array" aca="1" ref="AE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4" spans="1:31">
      <c r="A84" s="1" t="str" cm="1">
        <f t="array" aca="1" ref="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4" s="1" t="str" cm="1">
        <f t="array" aca="1" ref="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4" s="1" t="str" cm="1">
        <f t="array" aca="1" ref="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4" s="1" t="str" cm="1">
        <f t="array" aca="1" ref="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4" s="1" t="str" cm="1">
        <f t="array" aca="1" ref="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4" s="1" t="str" cm="1">
        <f t="array" aca="1" ref="F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4" s="1" t="str" cm="1">
        <f t="array" aca="1" ref="G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4" s="1" t="str" cm="1">
        <f t="array" aca="1" ref="H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4" s="1" t="str" cm="1">
        <f t="array" aca="1" ref="I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4" s="1" t="str" cm="1">
        <f t="array" aca="1" ref="J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4" s="1" t="str" cm="1">
        <f t="array" aca="1" ref="K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4" s="1" t="str" cm="1">
        <f t="array" aca="1" ref="L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4" s="1" t="str" cm="1">
        <f t="array" aca="1" ref="M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4" s="1" t="str" cm="1">
        <f t="array" aca="1" ref="N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4" s="1" t="str" cm="1">
        <f t="array" aca="1" ref="O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4" s="1" t="str" cm="1">
        <f t="array" aca="1" ref="P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4" s="1" t="str" cm="1">
        <f t="array" aca="1" ref="Q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4" s="1" t="str" cm="1">
        <f t="array" aca="1" ref="R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4" s="1" t="str" cm="1">
        <f t="array" aca="1" ref="S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4" s="1" t="str" cm="1">
        <f t="array" aca="1" ref="T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4" s="1" t="str" cm="1">
        <f t="array" aca="1" ref="U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4" s="1" t="str" cm="1">
        <f t="array" aca="1" ref="V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4" s="1" t="str" cm="1">
        <f t="array" aca="1" ref="W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4" s="1" t="str" cm="1">
        <f t="array" aca="1" ref="X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4" s="1" t="str" cm="1">
        <f t="array" aca="1" ref="Y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4" s="1" t="str" cm="1">
        <f t="array" aca="1" ref="Z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4" s="1" t="str" cm="1">
        <f t="array" aca="1" ref="AA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4" s="1" t="str" cm="1">
        <f t="array" aca="1" ref="AB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4" s="1" t="str" cm="1">
        <f t="array" aca="1" ref="AC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4" s="1" t="str" cm="1">
        <f t="array" aca="1" ref="AD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4" s="1" t="str" cm="1">
        <f t="array" aca="1" ref="AE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5" spans="1:31">
      <c r="A85" s="1" t="str" cm="1">
        <f t="array" aca="1" ref="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5" s="1" t="str" cm="1">
        <f t="array" aca="1" ref="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5" s="1" t="str" cm="1">
        <f t="array" aca="1" ref="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5" s="1" t="str" cm="1">
        <f t="array" aca="1" ref="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5" s="1" t="str" cm="1">
        <f t="array" aca="1" ref="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5" s="1" t="str" cm="1">
        <f t="array" aca="1" ref="F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5" s="1" t="str" cm="1">
        <f t="array" aca="1" ref="G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5" s="1" t="str" cm="1">
        <f t="array" aca="1" ref="H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5" s="1" t="str" cm="1">
        <f t="array" aca="1" ref="I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5" s="1" t="str" cm="1">
        <f t="array" aca="1" ref="J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5" s="1" t="str" cm="1">
        <f t="array" aca="1" ref="K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5" s="1" t="str" cm="1">
        <f t="array" aca="1" ref="L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5" s="1" t="str" cm="1">
        <f t="array" aca="1" ref="M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5" s="1" t="str" cm="1">
        <f t="array" aca="1" ref="N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5" s="1" t="str" cm="1">
        <f t="array" aca="1" ref="O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5" s="1" t="str" cm="1">
        <f t="array" aca="1" ref="P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5" s="1" t="str" cm="1">
        <f t="array" aca="1" ref="Q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5" s="1" t="str" cm="1">
        <f t="array" aca="1" ref="R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5" s="1" t="str" cm="1">
        <f t="array" aca="1" ref="S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5" s="1" t="str" cm="1">
        <f t="array" aca="1" ref="T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5" s="1" t="str" cm="1">
        <f t="array" aca="1" ref="U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5" s="1" t="str" cm="1">
        <f t="array" aca="1" ref="V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5" s="1" t="str" cm="1">
        <f t="array" aca="1" ref="W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5" s="1" t="str" cm="1">
        <f t="array" aca="1" ref="X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5" s="1" t="str" cm="1">
        <f t="array" aca="1" ref="Y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5" s="1" t="str" cm="1">
        <f t="array" aca="1" ref="Z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5" s="1" t="str" cm="1">
        <f t="array" aca="1" ref="AA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5" s="1" t="str" cm="1">
        <f t="array" aca="1" ref="AB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5" s="1" t="str" cm="1">
        <f t="array" aca="1" ref="AC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5" s="1" t="str" cm="1">
        <f t="array" aca="1" ref="AD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5" s="1" t="str" cm="1">
        <f t="array" aca="1" ref="AE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6" spans="1:31">
      <c r="A86" s="1" t="str" cm="1">
        <f t="array" aca="1" ref="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6" s="1" t="str" cm="1">
        <f t="array" aca="1" ref="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6" s="1" t="str" cm="1">
        <f t="array" aca="1" ref="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6" s="1" t="str" cm="1">
        <f t="array" aca="1" ref="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6" s="1" t="str" cm="1">
        <f t="array" aca="1" ref="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6" s="1" t="str" cm="1">
        <f t="array" aca="1" ref="F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6" s="1" t="str" cm="1">
        <f t="array" aca="1" ref="G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6" s="1" t="str" cm="1">
        <f t="array" aca="1" ref="H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6" s="1" t="str" cm="1">
        <f t="array" aca="1" ref="I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6" s="1" t="str" cm="1">
        <f t="array" aca="1" ref="J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6" s="1" t="str" cm="1">
        <f t="array" aca="1" ref="K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6" s="1" t="str" cm="1">
        <f t="array" aca="1" ref="L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6" s="1" t="str" cm="1">
        <f t="array" aca="1" ref="M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6" s="1" t="str" cm="1">
        <f t="array" aca="1" ref="N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6" s="1" t="str" cm="1">
        <f t="array" aca="1" ref="O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6" s="1" t="str" cm="1">
        <f t="array" aca="1" ref="P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6" s="1" t="str" cm="1">
        <f t="array" aca="1" ref="Q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6" s="1" t="str" cm="1">
        <f t="array" aca="1" ref="R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6" s="1" t="str" cm="1">
        <f t="array" aca="1" ref="S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6" s="1" t="str" cm="1">
        <f t="array" aca="1" ref="T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6" s="1" t="str" cm="1">
        <f t="array" aca="1" ref="U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6" s="1" t="str" cm="1">
        <f t="array" aca="1" ref="V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6" s="1" t="str" cm="1">
        <f t="array" aca="1" ref="W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6" s="1" t="str" cm="1">
        <f t="array" aca="1" ref="X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6" s="1" t="str" cm="1">
        <f t="array" aca="1" ref="Y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6" s="1" t="str" cm="1">
        <f t="array" aca="1" ref="Z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6" s="1" t="str" cm="1">
        <f t="array" aca="1" ref="AA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6" s="1" t="str" cm="1">
        <f t="array" aca="1" ref="AB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6" s="1" t="str" cm="1">
        <f t="array" aca="1" ref="AC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6" s="1" t="str" cm="1">
        <f t="array" aca="1" ref="AD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6" s="1" t="str" cm="1">
        <f t="array" aca="1" ref="AE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7" spans="1:31">
      <c r="A87" s="1" t="str" cm="1">
        <f t="array" aca="1" ref="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7" s="1" t="str" cm="1">
        <f t="array" aca="1" ref="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7" s="1" t="str" cm="1">
        <f t="array" aca="1" ref="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7" s="1" t="str" cm="1">
        <f t="array" aca="1" ref="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7" s="1" t="str" cm="1">
        <f t="array" aca="1" ref="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7" s="1" t="str" cm="1">
        <f t="array" aca="1" ref="F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7" s="1" t="str" cm="1">
        <f t="array" aca="1" ref="G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7" s="1" t="str" cm="1">
        <f t="array" aca="1" ref="H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7" s="1" t="str" cm="1">
        <f t="array" aca="1" ref="I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7" s="1" t="str" cm="1">
        <f t="array" aca="1" ref="J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7" s="1" t="str" cm="1">
        <f t="array" aca="1" ref="K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7" s="1" t="str" cm="1">
        <f t="array" aca="1" ref="L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7" s="1" t="str" cm="1">
        <f t="array" aca="1" ref="M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7" s="1" t="str" cm="1">
        <f t="array" aca="1" ref="N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7" s="1" t="str" cm="1">
        <f t="array" aca="1" ref="O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7" s="1" t="str" cm="1">
        <f t="array" aca="1" ref="P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7" s="1" t="str" cm="1">
        <f t="array" aca="1" ref="Q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7" s="1" t="str" cm="1">
        <f t="array" aca="1" ref="R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7" s="1" t="str" cm="1">
        <f t="array" aca="1" ref="S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7" s="1" t="str" cm="1">
        <f t="array" aca="1" ref="T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7" s="1" t="str" cm="1">
        <f t="array" aca="1" ref="U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7" s="1" t="str" cm="1">
        <f t="array" aca="1" ref="V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7" s="1" t="str" cm="1">
        <f t="array" aca="1" ref="W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7" s="1" t="str" cm="1">
        <f t="array" aca="1" ref="X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7" s="1" t="str" cm="1">
        <f t="array" aca="1" ref="Y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7" s="1" t="str" cm="1">
        <f t="array" aca="1" ref="Z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7" s="1" t="str" cm="1">
        <f t="array" aca="1" ref="AA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7" s="1" t="str" cm="1">
        <f t="array" aca="1" ref="AB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7" s="1" t="str" cm="1">
        <f t="array" aca="1" ref="AC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7" s="1" t="str" cm="1">
        <f t="array" aca="1" ref="AD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7" s="1" t="str" cm="1">
        <f t="array" aca="1" ref="AE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8" spans="1:31">
      <c r="A88" s="1" t="str" cm="1">
        <f t="array" aca="1" ref="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8" s="1" t="str" cm="1">
        <f t="array" aca="1" ref="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8" s="1" t="str" cm="1">
        <f t="array" aca="1" ref="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8" s="1" t="str" cm="1">
        <f t="array" aca="1" ref="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8" s="1" t="str" cm="1">
        <f t="array" aca="1" ref="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8" s="1" t="str" cm="1">
        <f t="array" aca="1" ref="F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8" s="1" t="str" cm="1">
        <f t="array" aca="1" ref="G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8" s="1" t="str" cm="1">
        <f t="array" aca="1" ref="H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8" s="1" t="str" cm="1">
        <f t="array" aca="1" ref="I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8" s="1" t="str" cm="1">
        <f t="array" aca="1" ref="J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8" s="1" t="str" cm="1">
        <f t="array" aca="1" ref="K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8" s="1" t="str" cm="1">
        <f t="array" aca="1" ref="L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8" s="1" t="str" cm="1">
        <f t="array" aca="1" ref="M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8" s="1" t="str" cm="1">
        <f t="array" aca="1" ref="N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8" s="1" t="str" cm="1">
        <f t="array" aca="1" ref="O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8" s="1" t="str" cm="1">
        <f t="array" aca="1" ref="P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8" s="1" t="str" cm="1">
        <f t="array" aca="1" ref="Q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8" s="1" t="str" cm="1">
        <f t="array" aca="1" ref="R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8" s="1" t="str" cm="1">
        <f t="array" aca="1" ref="S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8" s="1" t="str" cm="1">
        <f t="array" aca="1" ref="T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8" s="1" t="str" cm="1">
        <f t="array" aca="1" ref="U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8" s="1" t="str" cm="1">
        <f t="array" aca="1" ref="V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8" s="1" t="str" cm="1">
        <f t="array" aca="1" ref="W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8" s="1" t="str" cm="1">
        <f t="array" aca="1" ref="X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8" s="1" t="str" cm="1">
        <f t="array" aca="1" ref="Y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8" s="1" t="str" cm="1">
        <f t="array" aca="1" ref="Z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8" s="1" t="str" cm="1">
        <f t="array" aca="1" ref="AA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8" s="1" t="str" cm="1">
        <f t="array" aca="1" ref="AB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8" s="1" t="str" cm="1">
        <f t="array" aca="1" ref="AC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8" s="1" t="str" cm="1">
        <f t="array" aca="1" ref="AD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8" s="1" t="str" cm="1">
        <f t="array" aca="1" ref="AE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89" spans="1:31">
      <c r="A89" s="1" t="str" cm="1">
        <f t="array" aca="1" ref="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89" s="1" t="str" cm="1">
        <f t="array" aca="1" ref="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89" s="1" t="str" cm="1">
        <f t="array" aca="1" ref="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89" s="1" t="str" cm="1">
        <f t="array" aca="1" ref="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89" s="1" t="str" cm="1">
        <f t="array" aca="1" ref="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89" s="1" t="str" cm="1">
        <f t="array" aca="1" ref="F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89" s="1" t="str" cm="1">
        <f t="array" aca="1" ref="G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89" s="1" t="str" cm="1">
        <f t="array" aca="1" ref="H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89" s="1" t="str" cm="1">
        <f t="array" aca="1" ref="I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89" s="1" t="str" cm="1">
        <f t="array" aca="1" ref="J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89" s="1" t="str" cm="1">
        <f t="array" aca="1" ref="K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89" s="1" t="str" cm="1">
        <f t="array" aca="1" ref="L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89" s="1" t="str" cm="1">
        <f t="array" aca="1" ref="M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89" s="1" t="str" cm="1">
        <f t="array" aca="1" ref="N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89" s="1" t="str" cm="1">
        <f t="array" aca="1" ref="O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89" s="1" t="str" cm="1">
        <f t="array" aca="1" ref="P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89" s="1" t="str" cm="1">
        <f t="array" aca="1" ref="Q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89" s="1" t="str" cm="1">
        <f t="array" aca="1" ref="R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89" s="1" t="str" cm="1">
        <f t="array" aca="1" ref="S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89" s="1" t="str" cm="1">
        <f t="array" aca="1" ref="T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89" s="1" t="str" cm="1">
        <f t="array" aca="1" ref="U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89" s="1" t="str" cm="1">
        <f t="array" aca="1" ref="V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89" s="1" t="str" cm="1">
        <f t="array" aca="1" ref="W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89" s="1" t="str" cm="1">
        <f t="array" aca="1" ref="X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89" s="1" t="str" cm="1">
        <f t="array" aca="1" ref="Y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89" s="1" t="str" cm="1">
        <f t="array" aca="1" ref="Z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89" s="1" t="str" cm="1">
        <f t="array" aca="1" ref="AA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89" s="1" t="str" cm="1">
        <f t="array" aca="1" ref="AB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89" s="1" t="str" cm="1">
        <f t="array" aca="1" ref="AC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89" s="1" t="str" cm="1">
        <f t="array" aca="1" ref="AD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89" s="1" t="str" cm="1">
        <f t="array" aca="1" ref="AE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0" spans="1:31">
      <c r="A90" s="1" t="str" cm="1">
        <f t="array" aca="1" ref="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0" s="1" t="str" cm="1">
        <f t="array" aca="1" ref="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0" s="1" t="str" cm="1">
        <f t="array" aca="1" ref="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0" s="1" t="str" cm="1">
        <f t="array" aca="1" ref="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0" s="1" t="str" cm="1">
        <f t="array" aca="1" ref="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0" s="1" t="str" cm="1">
        <f t="array" aca="1" ref="F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0" s="1" t="str" cm="1">
        <f t="array" aca="1" ref="G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0" s="1" t="str" cm="1">
        <f t="array" aca="1" ref="H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0" s="1" t="str" cm="1">
        <f t="array" aca="1" ref="I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0" s="1" t="str" cm="1">
        <f t="array" aca="1" ref="J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0" s="1" t="str" cm="1">
        <f t="array" aca="1" ref="K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0" s="1" t="str" cm="1">
        <f t="array" aca="1" ref="L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0" s="1" t="str" cm="1">
        <f t="array" aca="1" ref="M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0" s="1" t="str" cm="1">
        <f t="array" aca="1" ref="N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0" s="1" t="str" cm="1">
        <f t="array" aca="1" ref="O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0" s="1" t="str" cm="1">
        <f t="array" aca="1" ref="P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0" s="1" t="str" cm="1">
        <f t="array" aca="1" ref="Q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0" s="1" t="str" cm="1">
        <f t="array" aca="1" ref="R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0" s="1" t="str" cm="1">
        <f t="array" aca="1" ref="S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0" s="1" t="str" cm="1">
        <f t="array" aca="1" ref="T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0" s="1" t="str" cm="1">
        <f t="array" aca="1" ref="U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0" s="1" t="str" cm="1">
        <f t="array" aca="1" ref="V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0" s="1" t="str" cm="1">
        <f t="array" aca="1" ref="W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0" s="1" t="str" cm="1">
        <f t="array" aca="1" ref="X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0" s="1" t="str" cm="1">
        <f t="array" aca="1" ref="Y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0" s="1" t="str" cm="1">
        <f t="array" aca="1" ref="Z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0" s="1" t="str" cm="1">
        <f t="array" aca="1" ref="AA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0" s="1" t="str" cm="1">
        <f t="array" aca="1" ref="AB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0" s="1" t="str" cm="1">
        <f t="array" aca="1" ref="AC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0" s="1" t="str" cm="1">
        <f t="array" aca="1" ref="AD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0" s="1" t="str" cm="1">
        <f t="array" aca="1" ref="AE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1" spans="1:31">
      <c r="A91" s="1" t="str" cm="1">
        <f t="array" aca="1" ref="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1" s="1" t="str" cm="1">
        <f t="array" aca="1" ref="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1" s="1" t="str" cm="1">
        <f t="array" aca="1" ref="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1" s="1" t="str" cm="1">
        <f t="array" aca="1" ref="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1" s="1" t="str" cm="1">
        <f t="array" aca="1" ref="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1" s="1" t="str" cm="1">
        <f t="array" aca="1" ref="F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1" s="1" t="str" cm="1">
        <f t="array" aca="1" ref="G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1" s="1" t="str" cm="1">
        <f t="array" aca="1" ref="H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1" s="1" t="str" cm="1">
        <f t="array" aca="1" ref="I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1" s="1" t="str" cm="1">
        <f t="array" aca="1" ref="J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1" s="1" t="str" cm="1">
        <f t="array" aca="1" ref="K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1" s="1" t="str" cm="1">
        <f t="array" aca="1" ref="L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1" s="1" t="str" cm="1">
        <f t="array" aca="1" ref="M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1" s="1" t="str" cm="1">
        <f t="array" aca="1" ref="N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1" s="1" t="str" cm="1">
        <f t="array" aca="1" ref="O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1" s="1" t="str" cm="1">
        <f t="array" aca="1" ref="P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1" s="1" t="str" cm="1">
        <f t="array" aca="1" ref="Q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1" s="1" t="str" cm="1">
        <f t="array" aca="1" ref="R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1" s="1" t="str" cm="1">
        <f t="array" aca="1" ref="S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1" s="1" t="str" cm="1">
        <f t="array" aca="1" ref="T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1" s="1" t="str" cm="1">
        <f t="array" aca="1" ref="U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1" s="1" t="str" cm="1">
        <f t="array" aca="1" ref="V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1" s="1" t="str" cm="1">
        <f t="array" aca="1" ref="W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1" s="1" t="str" cm="1">
        <f t="array" aca="1" ref="X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1" s="1" t="str" cm="1">
        <f t="array" aca="1" ref="Y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1" s="1" t="str" cm="1">
        <f t="array" aca="1" ref="Z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1" s="1" t="str" cm="1">
        <f t="array" aca="1" ref="AA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1" s="1" t="str" cm="1">
        <f t="array" aca="1" ref="AB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1" s="1" t="str" cm="1">
        <f t="array" aca="1" ref="AC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1" s="1" t="str" cm="1">
        <f t="array" aca="1" ref="AD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1" s="1" t="str" cm="1">
        <f t="array" aca="1" ref="AE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2" spans="1:31">
      <c r="A92" s="1" t="str" cm="1">
        <f t="array" aca="1" ref="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2" s="1" t="str" cm="1">
        <f t="array" aca="1" ref="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2" s="1" t="str" cm="1">
        <f t="array" aca="1" ref="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2" s="1" t="str" cm="1">
        <f t="array" aca="1" ref="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2" s="1" t="str" cm="1">
        <f t="array" aca="1" ref="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2" s="1" t="str" cm="1">
        <f t="array" aca="1" ref="F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2" s="1" t="str" cm="1">
        <f t="array" aca="1" ref="G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2" s="1" t="str" cm="1">
        <f t="array" aca="1" ref="H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2" s="1" t="str" cm="1">
        <f t="array" aca="1" ref="I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2" s="1" t="str" cm="1">
        <f t="array" aca="1" ref="J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2" s="1" t="str" cm="1">
        <f t="array" aca="1" ref="K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2" s="1" t="str" cm="1">
        <f t="array" aca="1" ref="L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2" s="1" t="str" cm="1">
        <f t="array" aca="1" ref="M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2" s="1" t="str" cm="1">
        <f t="array" aca="1" ref="N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2" s="1" t="str" cm="1">
        <f t="array" aca="1" ref="O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2" s="1" t="str" cm="1">
        <f t="array" aca="1" ref="P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2" s="1" t="str" cm="1">
        <f t="array" aca="1" ref="Q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2" s="1" t="str" cm="1">
        <f t="array" aca="1" ref="R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2" s="1" t="str" cm="1">
        <f t="array" aca="1" ref="S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2" s="1" t="str" cm="1">
        <f t="array" aca="1" ref="T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2" s="1" t="str" cm="1">
        <f t="array" aca="1" ref="U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2" s="1" t="str" cm="1">
        <f t="array" aca="1" ref="V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2" s="1" t="str" cm="1">
        <f t="array" aca="1" ref="W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2" s="1" t="str" cm="1">
        <f t="array" aca="1" ref="X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2" s="1" t="str" cm="1">
        <f t="array" aca="1" ref="Y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2" s="1" t="str" cm="1">
        <f t="array" aca="1" ref="Z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2" s="1" t="str" cm="1">
        <f t="array" aca="1" ref="AA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2" s="1" t="str" cm="1">
        <f t="array" aca="1" ref="AB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2" s="1" t="str" cm="1">
        <f t="array" aca="1" ref="AC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2" s="1" t="str" cm="1">
        <f t="array" aca="1" ref="AD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2" s="1" t="str" cm="1">
        <f t="array" aca="1" ref="AE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3" spans="1:31">
      <c r="A93" s="1" t="str" cm="1">
        <f t="array" aca="1" ref="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3" s="1" t="str" cm="1">
        <f t="array" aca="1" ref="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3" s="1" t="str" cm="1">
        <f t="array" aca="1" ref="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3" s="1" t="str" cm="1">
        <f t="array" aca="1" ref="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3" s="1" t="str" cm="1">
        <f t="array" aca="1" ref="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3" s="1" t="str" cm="1">
        <f t="array" aca="1" ref="F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3" s="1" t="str" cm="1">
        <f t="array" aca="1" ref="G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3" s="1" t="str" cm="1">
        <f t="array" aca="1" ref="H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3" s="1" t="str" cm="1">
        <f t="array" aca="1" ref="I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3" s="1" t="str" cm="1">
        <f t="array" aca="1" ref="J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3" s="1" t="str" cm="1">
        <f t="array" aca="1" ref="K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3" s="1" t="str" cm="1">
        <f t="array" aca="1" ref="L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3" s="1" t="str" cm="1">
        <f t="array" aca="1" ref="M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3" s="1" t="str" cm="1">
        <f t="array" aca="1" ref="N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3" s="1" t="str" cm="1">
        <f t="array" aca="1" ref="O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3" s="1" t="str" cm="1">
        <f t="array" aca="1" ref="P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3" s="1" t="str" cm="1">
        <f t="array" aca="1" ref="Q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3" s="1" t="str" cm="1">
        <f t="array" aca="1" ref="R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3" s="1" t="str" cm="1">
        <f t="array" aca="1" ref="S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3" s="1" t="str" cm="1">
        <f t="array" aca="1" ref="T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3" s="1" t="str" cm="1">
        <f t="array" aca="1" ref="U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3" s="1" t="str" cm="1">
        <f t="array" aca="1" ref="V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3" s="1" t="str" cm="1">
        <f t="array" aca="1" ref="W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3" s="1" t="str" cm="1">
        <f t="array" aca="1" ref="X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3" s="1" t="str" cm="1">
        <f t="array" aca="1" ref="Y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3" s="1" t="str" cm="1">
        <f t="array" aca="1" ref="Z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3" s="1" t="str" cm="1">
        <f t="array" aca="1" ref="AA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3" s="1" t="str" cm="1">
        <f t="array" aca="1" ref="AB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3" s="1" t="str" cm="1">
        <f t="array" aca="1" ref="AC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3" s="1" t="str" cm="1">
        <f t="array" aca="1" ref="AD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3" s="1" t="str" cm="1">
        <f t="array" aca="1" ref="AE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4" spans="1:31">
      <c r="A94" s="1" t="str" cm="1">
        <f t="array" aca="1" ref="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4" s="1" t="str" cm="1">
        <f t="array" aca="1" ref="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4" s="1" t="str" cm="1">
        <f t="array" aca="1" ref="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4" s="1" t="str" cm="1">
        <f t="array" aca="1" ref="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4" s="1" t="str" cm="1">
        <f t="array" aca="1" ref="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4" s="1" t="str" cm="1">
        <f t="array" aca="1" ref="F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4" s="1" t="str" cm="1">
        <f t="array" aca="1" ref="G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4" s="1" t="str" cm="1">
        <f t="array" aca="1" ref="H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4" s="1" t="str" cm="1">
        <f t="array" aca="1" ref="I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4" s="1" t="str" cm="1">
        <f t="array" aca="1" ref="J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4" s="1" t="str" cm="1">
        <f t="array" aca="1" ref="K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4" s="1" t="str" cm="1">
        <f t="array" aca="1" ref="L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4" s="1" t="str" cm="1">
        <f t="array" aca="1" ref="M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4" s="1" t="str" cm="1">
        <f t="array" aca="1" ref="N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4" s="1" t="str" cm="1">
        <f t="array" aca="1" ref="O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4" s="1" t="str" cm="1">
        <f t="array" aca="1" ref="P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4" s="1" t="str" cm="1">
        <f t="array" aca="1" ref="Q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4" s="1" t="str" cm="1">
        <f t="array" aca="1" ref="R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4" s="1" t="str" cm="1">
        <f t="array" aca="1" ref="S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4" s="1" t="str" cm="1">
        <f t="array" aca="1" ref="T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4" s="1" t="str" cm="1">
        <f t="array" aca="1" ref="U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4" s="1" t="str" cm="1">
        <f t="array" aca="1" ref="V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4" s="1" t="str" cm="1">
        <f t="array" aca="1" ref="W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4" s="1" t="str" cm="1">
        <f t="array" aca="1" ref="X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4" s="1" t="str" cm="1">
        <f t="array" aca="1" ref="Y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4" s="1" t="str" cm="1">
        <f t="array" aca="1" ref="Z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4" s="1" t="str" cm="1">
        <f t="array" aca="1" ref="AA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4" s="1" t="str" cm="1">
        <f t="array" aca="1" ref="AB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4" s="1" t="str" cm="1">
        <f t="array" aca="1" ref="AC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4" s="1" t="str" cm="1">
        <f t="array" aca="1" ref="AD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4" s="1" t="str" cm="1">
        <f t="array" aca="1" ref="AE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5" spans="1:31">
      <c r="A95" s="1" t="str" cm="1">
        <f t="array" aca="1" ref="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5" s="1" t="str" cm="1">
        <f t="array" aca="1" ref="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5" s="1" t="str" cm="1">
        <f t="array" aca="1" ref="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5" s="1" t="str" cm="1">
        <f t="array" aca="1" ref="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5" s="1" t="str" cm="1">
        <f t="array" aca="1" ref="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5" s="1" t="str" cm="1">
        <f t="array" aca="1" ref="F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5" s="1" t="str" cm="1">
        <f t="array" aca="1" ref="G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5" s="1" t="str" cm="1">
        <f t="array" aca="1" ref="H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5" s="1" t="str" cm="1">
        <f t="array" aca="1" ref="I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5" s="1" t="str" cm="1">
        <f t="array" aca="1" ref="J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5" s="1" t="str" cm="1">
        <f t="array" aca="1" ref="K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5" s="1" t="str" cm="1">
        <f t="array" aca="1" ref="L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5" s="1" t="str" cm="1">
        <f t="array" aca="1" ref="M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5" s="1" t="str" cm="1">
        <f t="array" aca="1" ref="N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5" s="1" t="str" cm="1">
        <f t="array" aca="1" ref="O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5" s="1" t="str" cm="1">
        <f t="array" aca="1" ref="P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5" s="1" t="str" cm="1">
        <f t="array" aca="1" ref="Q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5" s="1" t="str" cm="1">
        <f t="array" aca="1" ref="R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5" s="1" t="str" cm="1">
        <f t="array" aca="1" ref="S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5" s="1" t="str" cm="1">
        <f t="array" aca="1" ref="T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5" s="1" t="str" cm="1">
        <f t="array" aca="1" ref="U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5" s="1" t="str" cm="1">
        <f t="array" aca="1" ref="V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5" s="1" t="str" cm="1">
        <f t="array" aca="1" ref="W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5" s="1" t="str" cm="1">
        <f t="array" aca="1" ref="X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5" s="1" t="str" cm="1">
        <f t="array" aca="1" ref="Y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5" s="1" t="str" cm="1">
        <f t="array" aca="1" ref="Z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5" s="1" t="str" cm="1">
        <f t="array" aca="1" ref="AA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5" s="1" t="str" cm="1">
        <f t="array" aca="1" ref="AB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5" s="1" t="str" cm="1">
        <f t="array" aca="1" ref="AC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5" s="1" t="str" cm="1">
        <f t="array" aca="1" ref="AD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5" s="1" t="str" cm="1">
        <f t="array" aca="1" ref="AE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6" spans="1:31">
      <c r="A96" s="1" t="str" cm="1">
        <f t="array" aca="1" ref="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6" s="1" t="str" cm="1">
        <f t="array" aca="1" ref="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6" s="1" t="str" cm="1">
        <f t="array" aca="1" ref="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6" s="1" t="str" cm="1">
        <f t="array" aca="1" ref="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6" s="1" t="str" cm="1">
        <f t="array" aca="1" ref="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6" s="1" t="str" cm="1">
        <f t="array" aca="1" ref="F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6" s="1" t="str" cm="1">
        <f t="array" aca="1" ref="G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6" s="1" t="str" cm="1">
        <f t="array" aca="1" ref="H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6" s="1" t="str" cm="1">
        <f t="array" aca="1" ref="I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6" s="1" t="str" cm="1">
        <f t="array" aca="1" ref="J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6" s="1" t="str" cm="1">
        <f t="array" aca="1" ref="K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6" s="1" t="str" cm="1">
        <f t="array" aca="1" ref="L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6" s="1" t="str" cm="1">
        <f t="array" aca="1" ref="M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6" s="1" t="str" cm="1">
        <f t="array" aca="1" ref="N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6" s="1" t="str" cm="1">
        <f t="array" aca="1" ref="O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6" s="1" t="str" cm="1">
        <f t="array" aca="1" ref="P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6" s="1" t="str" cm="1">
        <f t="array" aca="1" ref="Q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6" s="1" t="str" cm="1">
        <f t="array" aca="1" ref="R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6" s="1" t="str" cm="1">
        <f t="array" aca="1" ref="S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6" s="1" t="str" cm="1">
        <f t="array" aca="1" ref="T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6" s="1" t="str" cm="1">
        <f t="array" aca="1" ref="U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6" s="1" t="str" cm="1">
        <f t="array" aca="1" ref="V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6" s="1" t="str" cm="1">
        <f t="array" aca="1" ref="W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6" s="1" t="str" cm="1">
        <f t="array" aca="1" ref="X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6" s="1" t="str" cm="1">
        <f t="array" aca="1" ref="Y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6" s="1" t="str" cm="1">
        <f t="array" aca="1" ref="Z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6" s="1" t="str" cm="1">
        <f t="array" aca="1" ref="AA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6" s="1" t="str" cm="1">
        <f t="array" aca="1" ref="AB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6" s="1" t="str" cm="1">
        <f t="array" aca="1" ref="AC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6" s="1" t="str" cm="1">
        <f t="array" aca="1" ref="AD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6" s="1" t="str" cm="1">
        <f t="array" aca="1" ref="AE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7" spans="1:31">
      <c r="A97" s="1" t="str" cm="1">
        <f t="array" aca="1" ref="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7" s="1" t="str" cm="1">
        <f t="array" aca="1" ref="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7" s="1" t="str" cm="1">
        <f t="array" aca="1" ref="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7" s="1" t="str" cm="1">
        <f t="array" aca="1" ref="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7" s="1" t="str" cm="1">
        <f t="array" aca="1" ref="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7" s="1" t="str" cm="1">
        <f t="array" aca="1" ref="F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7" s="1" t="str" cm="1">
        <f t="array" aca="1" ref="G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7" s="1" t="str" cm="1">
        <f t="array" aca="1" ref="H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7" s="1" t="str" cm="1">
        <f t="array" aca="1" ref="I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7" s="1" t="str" cm="1">
        <f t="array" aca="1" ref="J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7" s="1" t="str" cm="1">
        <f t="array" aca="1" ref="K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7" s="1" t="str" cm="1">
        <f t="array" aca="1" ref="L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7" s="1" t="str" cm="1">
        <f t="array" aca="1" ref="M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7" s="1" t="str" cm="1">
        <f t="array" aca="1" ref="N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7" s="1" t="str" cm="1">
        <f t="array" aca="1" ref="O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7" s="1" t="str" cm="1">
        <f t="array" aca="1" ref="P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7" s="1" t="str" cm="1">
        <f t="array" aca="1" ref="Q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7" s="1" t="str" cm="1">
        <f t="array" aca="1" ref="R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7" s="1" t="str" cm="1">
        <f t="array" aca="1" ref="S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7" s="1" t="str" cm="1">
        <f t="array" aca="1" ref="T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7" s="1" t="str" cm="1">
        <f t="array" aca="1" ref="U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7" s="1" t="str" cm="1">
        <f t="array" aca="1" ref="V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7" s="1" t="str" cm="1">
        <f t="array" aca="1" ref="W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7" s="1" t="str" cm="1">
        <f t="array" aca="1" ref="X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7" s="1" t="str" cm="1">
        <f t="array" aca="1" ref="Y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7" s="1" t="str" cm="1">
        <f t="array" aca="1" ref="Z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7" s="1" t="str" cm="1">
        <f t="array" aca="1" ref="AA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7" s="1" t="str" cm="1">
        <f t="array" aca="1" ref="AB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7" s="1" t="str" cm="1">
        <f t="array" aca="1" ref="AC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7" s="1" t="str" cm="1">
        <f t="array" aca="1" ref="AD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7" s="1" t="str" cm="1">
        <f t="array" aca="1" ref="AE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8" spans="1:31">
      <c r="A98" s="1" t="str" cm="1">
        <f t="array" aca="1" ref="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8" s="1" t="str" cm="1">
        <f t="array" aca="1" ref="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8" s="1" t="str" cm="1">
        <f t="array" aca="1" ref="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8" s="1" t="str" cm="1">
        <f t="array" aca="1" ref="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8" s="1" t="str" cm="1">
        <f t="array" aca="1" ref="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8" s="1" t="str" cm="1">
        <f t="array" aca="1" ref="F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8" s="1" t="str" cm="1">
        <f t="array" aca="1" ref="G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8" s="1" t="str" cm="1">
        <f t="array" aca="1" ref="H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8" s="1" t="str" cm="1">
        <f t="array" aca="1" ref="I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8" s="1" t="str" cm="1">
        <f t="array" aca="1" ref="J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8" s="1" t="str" cm="1">
        <f t="array" aca="1" ref="K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8" s="1" t="str" cm="1">
        <f t="array" aca="1" ref="L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8" s="1" t="str" cm="1">
        <f t="array" aca="1" ref="M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8" s="1" t="str" cm="1">
        <f t="array" aca="1" ref="N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8" s="1" t="str" cm="1">
        <f t="array" aca="1" ref="O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8" s="1" t="str" cm="1">
        <f t="array" aca="1" ref="P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8" s="1" t="str" cm="1">
        <f t="array" aca="1" ref="Q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8" s="1" t="str" cm="1">
        <f t="array" aca="1" ref="R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8" s="1" t="str" cm="1">
        <f t="array" aca="1" ref="S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8" s="1" t="str" cm="1">
        <f t="array" aca="1" ref="T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8" s="1" t="str" cm="1">
        <f t="array" aca="1" ref="U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8" s="1" t="str" cm="1">
        <f t="array" aca="1" ref="V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8" s="1" t="str" cm="1">
        <f t="array" aca="1" ref="W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8" s="1" t="str" cm="1">
        <f t="array" aca="1" ref="X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8" s="1" t="str" cm="1">
        <f t="array" aca="1" ref="Y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8" s="1" t="str" cm="1">
        <f t="array" aca="1" ref="Z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8" s="1" t="str" cm="1">
        <f t="array" aca="1" ref="AA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8" s="1" t="str" cm="1">
        <f t="array" aca="1" ref="AB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8" s="1" t="str" cm="1">
        <f t="array" aca="1" ref="AC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8" s="1" t="str" cm="1">
        <f t="array" aca="1" ref="AD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8" s="1" t="str" cm="1">
        <f t="array" aca="1" ref="AE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99" spans="1:31">
      <c r="A99" s="1" t="str" cm="1">
        <f t="array" aca="1" ref="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99" s="1" t="str" cm="1">
        <f t="array" aca="1" ref="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99" s="1" t="str" cm="1">
        <f t="array" aca="1" ref="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99" s="1" t="str" cm="1">
        <f t="array" aca="1" ref="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99" s="1" t="str" cm="1">
        <f t="array" aca="1" ref="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99" s="1" t="str" cm="1">
        <f t="array" aca="1" ref="F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99" s="1" t="str" cm="1">
        <f t="array" aca="1" ref="G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99" s="1" t="str" cm="1">
        <f t="array" aca="1" ref="H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99" s="1" t="str" cm="1">
        <f t="array" aca="1" ref="I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99" s="1" t="str" cm="1">
        <f t="array" aca="1" ref="J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99" s="1" t="str" cm="1">
        <f t="array" aca="1" ref="K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99" s="1" t="str" cm="1">
        <f t="array" aca="1" ref="L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99" s="1" t="str" cm="1">
        <f t="array" aca="1" ref="M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99" s="1" t="str" cm="1">
        <f t="array" aca="1" ref="N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99" s="1" t="str" cm="1">
        <f t="array" aca="1" ref="O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99" s="1" t="str" cm="1">
        <f t="array" aca="1" ref="P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99" s="1" t="str" cm="1">
        <f t="array" aca="1" ref="Q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99" s="1" t="str" cm="1">
        <f t="array" aca="1" ref="R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99" s="1" t="str" cm="1">
        <f t="array" aca="1" ref="S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99" s="1" t="str" cm="1">
        <f t="array" aca="1" ref="T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99" s="1" t="str" cm="1">
        <f t="array" aca="1" ref="U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99" s="1" t="str" cm="1">
        <f t="array" aca="1" ref="V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99" s="1" t="str" cm="1">
        <f t="array" aca="1" ref="W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99" s="1" t="str" cm="1">
        <f t="array" aca="1" ref="X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99" s="1" t="str" cm="1">
        <f t="array" aca="1" ref="Y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99" s="1" t="str" cm="1">
        <f t="array" aca="1" ref="Z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99" s="1" t="str" cm="1">
        <f t="array" aca="1" ref="AA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99" s="1" t="str" cm="1">
        <f t="array" aca="1" ref="AB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99" s="1" t="str" cm="1">
        <f t="array" aca="1" ref="AC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99" s="1" t="str" cm="1">
        <f t="array" aca="1" ref="AD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99" s="1" t="str" cm="1">
        <f t="array" aca="1" ref="AE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0" spans="1:31">
      <c r="A100" s="1" t="str" cm="1">
        <f t="array" aca="1" ref="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0" s="1" t="str" cm="1">
        <f t="array" aca="1" ref="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0" s="1" t="str" cm="1">
        <f t="array" aca="1" ref="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0" s="1" t="str" cm="1">
        <f t="array" aca="1" ref="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0" s="1" t="str" cm="1">
        <f t="array" aca="1" ref="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0" s="1" t="str" cm="1">
        <f t="array" aca="1" ref="F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0" s="1" t="str" cm="1">
        <f t="array" aca="1" ref="G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0" s="1" t="str" cm="1">
        <f t="array" aca="1" ref="H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0" s="1" t="str" cm="1">
        <f t="array" aca="1" ref="I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0" s="1" t="str" cm="1">
        <f t="array" aca="1" ref="J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0" s="1" t="str" cm="1">
        <f t="array" aca="1" ref="K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0" s="1" t="str" cm="1">
        <f t="array" aca="1" ref="L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0" s="1" t="str" cm="1">
        <f t="array" aca="1" ref="M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0" s="1" t="str" cm="1">
        <f t="array" aca="1" ref="N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0" s="1" t="str" cm="1">
        <f t="array" aca="1" ref="O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0" s="1" t="str" cm="1">
        <f t="array" aca="1" ref="P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0" s="1" t="str" cm="1">
        <f t="array" aca="1" ref="Q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0" s="1" t="str" cm="1">
        <f t="array" aca="1" ref="R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0" s="1" t="str" cm="1">
        <f t="array" aca="1" ref="S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0" s="1" t="str" cm="1">
        <f t="array" aca="1" ref="T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0" s="1" t="str" cm="1">
        <f t="array" aca="1" ref="U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0" s="1" t="str" cm="1">
        <f t="array" aca="1" ref="V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0" s="1" t="str" cm="1">
        <f t="array" aca="1" ref="W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0" s="1" t="str" cm="1">
        <f t="array" aca="1" ref="X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0" s="1" t="str" cm="1">
        <f t="array" aca="1" ref="Y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0" s="1" t="str" cm="1">
        <f t="array" aca="1" ref="Z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0" s="1" t="str" cm="1">
        <f t="array" aca="1" ref="AA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0" s="1" t="str" cm="1">
        <f t="array" aca="1" ref="AB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0" s="1" t="str" cm="1">
        <f t="array" aca="1" ref="AC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0" s="1" t="str" cm="1">
        <f t="array" aca="1" ref="AD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0" s="1" t="str" cm="1">
        <f t="array" aca="1" ref="AE1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1" spans="1:31">
      <c r="A101" s="1" t="str" cm="1">
        <f t="array" aca="1" ref="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1" s="1" t="str" cm="1">
        <f t="array" aca="1" ref="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1" s="1" t="str" cm="1">
        <f t="array" aca="1" ref="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1" s="1" t="str" cm="1">
        <f t="array" aca="1" ref="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1" s="1" t="str" cm="1">
        <f t="array" aca="1" ref="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1" s="1" t="str" cm="1">
        <f t="array" aca="1" ref="F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1" s="1" t="str" cm="1">
        <f t="array" aca="1" ref="G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1" s="1" t="str" cm="1">
        <f t="array" aca="1" ref="H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1" s="1" t="str" cm="1">
        <f t="array" aca="1" ref="I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1" s="1" t="str" cm="1">
        <f t="array" aca="1" ref="J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1" s="1" t="str" cm="1">
        <f t="array" aca="1" ref="K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1" s="1" t="str" cm="1">
        <f t="array" aca="1" ref="L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1" s="1" t="str" cm="1">
        <f t="array" aca="1" ref="M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1" s="1" t="str" cm="1">
        <f t="array" aca="1" ref="N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1" s="1" t="str" cm="1">
        <f t="array" aca="1" ref="O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1" s="1" t="str" cm="1">
        <f t="array" aca="1" ref="P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1" s="1" t="str" cm="1">
        <f t="array" aca="1" ref="Q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1" s="1" t="str" cm="1">
        <f t="array" aca="1" ref="R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1" s="1" t="str" cm="1">
        <f t="array" aca="1" ref="S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1" s="1" t="str" cm="1">
        <f t="array" aca="1" ref="T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1" s="1" t="str" cm="1">
        <f t="array" aca="1" ref="U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1" s="1" t="str" cm="1">
        <f t="array" aca="1" ref="V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1" s="1" t="str" cm="1">
        <f t="array" aca="1" ref="W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1" s="1" t="str" cm="1">
        <f t="array" aca="1" ref="X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1" s="1" t="str" cm="1">
        <f t="array" aca="1" ref="Y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1" s="1" t="str" cm="1">
        <f t="array" aca="1" ref="Z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1" s="1" t="str" cm="1">
        <f t="array" aca="1" ref="AA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1" s="1" t="str" cm="1">
        <f t="array" aca="1" ref="AB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1" s="1" t="str" cm="1">
        <f t="array" aca="1" ref="AC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1" s="1" t="str" cm="1">
        <f t="array" aca="1" ref="AD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1" s="1" t="str" cm="1">
        <f t="array" aca="1" ref="AE1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2" spans="1:31">
      <c r="A102" s="1" t="str" cm="1">
        <f t="array" aca="1" ref="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2" s="1" t="str" cm="1">
        <f t="array" aca="1" ref="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2" s="1" t="str" cm="1">
        <f t="array" aca="1" ref="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2" s="1" t="str" cm="1">
        <f t="array" aca="1" ref="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2" s="1" t="str" cm="1">
        <f t="array" aca="1" ref="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2" s="1" t="str" cm="1">
        <f t="array" aca="1" ref="F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2" s="1" t="str" cm="1">
        <f t="array" aca="1" ref="G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2" s="1" t="str" cm="1">
        <f t="array" aca="1" ref="H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2" s="1" t="str" cm="1">
        <f t="array" aca="1" ref="I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2" s="1" t="str" cm="1">
        <f t="array" aca="1" ref="J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2" s="1" t="str" cm="1">
        <f t="array" aca="1" ref="K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2" s="1" t="str" cm="1">
        <f t="array" aca="1" ref="L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2" s="1" t="str" cm="1">
        <f t="array" aca="1" ref="M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2" s="1" t="str" cm="1">
        <f t="array" aca="1" ref="N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2" s="1" t="str" cm="1">
        <f t="array" aca="1" ref="O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2" s="1" t="str" cm="1">
        <f t="array" aca="1" ref="P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2" s="1" t="str" cm="1">
        <f t="array" aca="1" ref="Q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2" s="1" t="str" cm="1">
        <f t="array" aca="1" ref="R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2" s="1" t="str" cm="1">
        <f t="array" aca="1" ref="S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2" s="1" t="str" cm="1">
        <f t="array" aca="1" ref="T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2" s="1" t="str" cm="1">
        <f t="array" aca="1" ref="U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2" s="1" t="str" cm="1">
        <f t="array" aca="1" ref="V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2" s="1" t="str" cm="1">
        <f t="array" aca="1" ref="W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2" s="1" t="str" cm="1">
        <f t="array" aca="1" ref="X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2" s="1" t="str" cm="1">
        <f t="array" aca="1" ref="Y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2" s="1" t="str" cm="1">
        <f t="array" aca="1" ref="Z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2" s="1" t="str" cm="1">
        <f t="array" aca="1" ref="AA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2" s="1" t="str" cm="1">
        <f t="array" aca="1" ref="AB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2" s="1" t="str" cm="1">
        <f t="array" aca="1" ref="AC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2" s="1" t="str" cm="1">
        <f t="array" aca="1" ref="AD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2" s="1" t="str" cm="1">
        <f t="array" aca="1" ref="AE1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3" spans="1:31">
      <c r="A103" s="1" t="str" cm="1">
        <f t="array" aca="1" ref="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3" s="1" t="str" cm="1">
        <f t="array" aca="1" ref="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3" s="1" t="str" cm="1">
        <f t="array" aca="1" ref="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3" s="1" t="str" cm="1">
        <f t="array" aca="1" ref="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3" s="1" t="str" cm="1">
        <f t="array" aca="1" ref="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3" s="1" t="str" cm="1">
        <f t="array" aca="1" ref="F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3" s="1" t="str" cm="1">
        <f t="array" aca="1" ref="G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3" s="1" t="str" cm="1">
        <f t="array" aca="1" ref="H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3" s="1" t="str" cm="1">
        <f t="array" aca="1" ref="I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3" s="1" t="str" cm="1">
        <f t="array" aca="1" ref="J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3" s="1" t="str" cm="1">
        <f t="array" aca="1" ref="K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3" s="1" t="str" cm="1">
        <f t="array" aca="1" ref="L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3" s="1" t="str" cm="1">
        <f t="array" aca="1" ref="M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3" s="1" t="str" cm="1">
        <f t="array" aca="1" ref="N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3" s="1" t="str" cm="1">
        <f t="array" aca="1" ref="O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3" s="1" t="str" cm="1">
        <f t="array" aca="1" ref="P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3" s="1" t="str" cm="1">
        <f t="array" aca="1" ref="Q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3" s="1" t="str" cm="1">
        <f t="array" aca="1" ref="R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3" s="1" t="str" cm="1">
        <f t="array" aca="1" ref="S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3" s="1" t="str" cm="1">
        <f t="array" aca="1" ref="T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3" s="1" t="str" cm="1">
        <f t="array" aca="1" ref="U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3" s="1" t="str" cm="1">
        <f t="array" aca="1" ref="V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3" s="1" t="str" cm="1">
        <f t="array" aca="1" ref="W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3" s="1" t="str" cm="1">
        <f t="array" aca="1" ref="X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3" s="1" t="str" cm="1">
        <f t="array" aca="1" ref="Y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3" s="1" t="str" cm="1">
        <f t="array" aca="1" ref="Z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3" s="1" t="str" cm="1">
        <f t="array" aca="1" ref="AA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3" s="1" t="str" cm="1">
        <f t="array" aca="1" ref="AB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3" s="1" t="str" cm="1">
        <f t="array" aca="1" ref="AC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3" s="1" t="str" cm="1">
        <f t="array" aca="1" ref="AD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3" s="1" t="str" cm="1">
        <f t="array" aca="1" ref="AE1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4" spans="1:31">
      <c r="A104" s="1" t="str" cm="1">
        <f t="array" aca="1" ref="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4" s="1" t="str" cm="1">
        <f t="array" aca="1" ref="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4" s="1" t="str" cm="1">
        <f t="array" aca="1" ref="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4" s="1" t="str" cm="1">
        <f t="array" aca="1" ref="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4" s="1" t="str" cm="1">
        <f t="array" aca="1" ref="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4" s="1" t="str" cm="1">
        <f t="array" aca="1" ref="F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4" s="1" t="str" cm="1">
        <f t="array" aca="1" ref="G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4" s="1" t="str" cm="1">
        <f t="array" aca="1" ref="H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4" s="1" t="str" cm="1">
        <f t="array" aca="1" ref="I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4" s="1" t="str" cm="1">
        <f t="array" aca="1" ref="J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4" s="1" t="str" cm="1">
        <f t="array" aca="1" ref="K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4" s="1" t="str" cm="1">
        <f t="array" aca="1" ref="L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4" s="1" t="str" cm="1">
        <f t="array" aca="1" ref="M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4" s="1" t="str" cm="1">
        <f t="array" aca="1" ref="N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4" s="1" t="str" cm="1">
        <f t="array" aca="1" ref="O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4" s="1" t="str" cm="1">
        <f t="array" aca="1" ref="P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4" s="1" t="str" cm="1">
        <f t="array" aca="1" ref="Q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4" s="1" t="str" cm="1">
        <f t="array" aca="1" ref="R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4" s="1" t="str" cm="1">
        <f t="array" aca="1" ref="S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4" s="1" t="str" cm="1">
        <f t="array" aca="1" ref="T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4" s="1" t="str" cm="1">
        <f t="array" aca="1" ref="U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4" s="1" t="str" cm="1">
        <f t="array" aca="1" ref="V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4" s="1" t="str" cm="1">
        <f t="array" aca="1" ref="W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4" s="1" t="str" cm="1">
        <f t="array" aca="1" ref="X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4" s="1" t="str" cm="1">
        <f t="array" aca="1" ref="Y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4" s="1" t="str" cm="1">
        <f t="array" aca="1" ref="Z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4" s="1" t="str" cm="1">
        <f t="array" aca="1" ref="AA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4" s="1" t="str" cm="1">
        <f t="array" aca="1" ref="AB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4" s="1" t="str" cm="1">
        <f t="array" aca="1" ref="AC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4" s="1" t="str" cm="1">
        <f t="array" aca="1" ref="AD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4" s="1" t="str" cm="1">
        <f t="array" aca="1" ref="AE1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5" spans="1:31">
      <c r="A105" s="1" t="str" cm="1">
        <f t="array" aca="1" ref="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5" s="1" t="str" cm="1">
        <f t="array" aca="1" ref="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5" s="1" t="str" cm="1">
        <f t="array" aca="1" ref="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5" s="1" t="str" cm="1">
        <f t="array" aca="1" ref="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5" s="1" t="str" cm="1">
        <f t="array" aca="1" ref="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5" s="1" t="str" cm="1">
        <f t="array" aca="1" ref="F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5" s="1" t="str" cm="1">
        <f t="array" aca="1" ref="G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5" s="1" t="str" cm="1">
        <f t="array" aca="1" ref="H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5" s="1" t="str" cm="1">
        <f t="array" aca="1" ref="I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5" s="1" t="str" cm="1">
        <f t="array" aca="1" ref="J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5" s="1" t="str" cm="1">
        <f t="array" aca="1" ref="K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5" s="1" t="str" cm="1">
        <f t="array" aca="1" ref="L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5" s="1" t="str" cm="1">
        <f t="array" aca="1" ref="M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5" s="1" t="str" cm="1">
        <f t="array" aca="1" ref="N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5" s="1" t="str" cm="1">
        <f t="array" aca="1" ref="O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5" s="1" t="str" cm="1">
        <f t="array" aca="1" ref="P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5" s="1" t="str" cm="1">
        <f t="array" aca="1" ref="Q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5" s="1" t="str" cm="1">
        <f t="array" aca="1" ref="R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5" s="1" t="str" cm="1">
        <f t="array" aca="1" ref="S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5" s="1" t="str" cm="1">
        <f t="array" aca="1" ref="T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5" s="1" t="str" cm="1">
        <f t="array" aca="1" ref="U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5" s="1" t="str" cm="1">
        <f t="array" aca="1" ref="V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5" s="1" t="str" cm="1">
        <f t="array" aca="1" ref="W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5" s="1" t="str" cm="1">
        <f t="array" aca="1" ref="X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5" s="1" t="str" cm="1">
        <f t="array" aca="1" ref="Y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5" s="1" t="str" cm="1">
        <f t="array" aca="1" ref="Z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5" s="1" t="str" cm="1">
        <f t="array" aca="1" ref="AA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5" s="1" t="str" cm="1">
        <f t="array" aca="1" ref="AB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5" s="1" t="str" cm="1">
        <f t="array" aca="1" ref="AC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5" s="1" t="str" cm="1">
        <f t="array" aca="1" ref="AD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5" s="1" t="str" cm="1">
        <f t="array" aca="1" ref="AE1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6" spans="1:31">
      <c r="A106" s="1" t="str" cm="1">
        <f t="array" aca="1" ref="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6" s="1" t="str" cm="1">
        <f t="array" aca="1" ref="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6" s="1" t="str" cm="1">
        <f t="array" aca="1" ref="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6" s="1" t="str" cm="1">
        <f t="array" aca="1" ref="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6" s="1" t="str" cm="1">
        <f t="array" aca="1" ref="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6" s="1" t="str" cm="1">
        <f t="array" aca="1" ref="F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6" s="1" t="str" cm="1">
        <f t="array" aca="1" ref="G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6" s="1" t="str" cm="1">
        <f t="array" aca="1" ref="H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6" s="1" t="str" cm="1">
        <f t="array" aca="1" ref="I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6" s="1" t="str" cm="1">
        <f t="array" aca="1" ref="J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6" s="1" t="str" cm="1">
        <f t="array" aca="1" ref="K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6" s="1" t="str" cm="1">
        <f t="array" aca="1" ref="L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6" s="1" t="str" cm="1">
        <f t="array" aca="1" ref="M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6" s="1" t="str" cm="1">
        <f t="array" aca="1" ref="N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6" s="1" t="str" cm="1">
        <f t="array" aca="1" ref="O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6" s="1" t="str" cm="1">
        <f t="array" aca="1" ref="P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6" s="1" t="str" cm="1">
        <f t="array" aca="1" ref="Q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6" s="1" t="str" cm="1">
        <f t="array" aca="1" ref="R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6" s="1" t="str" cm="1">
        <f t="array" aca="1" ref="S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6" s="1" t="str" cm="1">
        <f t="array" aca="1" ref="T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6" s="1" t="str" cm="1">
        <f t="array" aca="1" ref="U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6" s="1" t="str" cm="1">
        <f t="array" aca="1" ref="V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6" s="1" t="str" cm="1">
        <f t="array" aca="1" ref="W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6" s="1" t="str" cm="1">
        <f t="array" aca="1" ref="X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6" s="1" t="str" cm="1">
        <f t="array" aca="1" ref="Y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6" s="1" t="str" cm="1">
        <f t="array" aca="1" ref="Z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6" s="1" t="str" cm="1">
        <f t="array" aca="1" ref="AA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6" s="1" t="str" cm="1">
        <f t="array" aca="1" ref="AB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6" s="1" t="str" cm="1">
        <f t="array" aca="1" ref="AC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6" s="1" t="str" cm="1">
        <f t="array" aca="1" ref="AD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6" s="1" t="str" cm="1">
        <f t="array" aca="1" ref="AE1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7" spans="1:31">
      <c r="A107" s="1" t="str" cm="1">
        <f t="array" aca="1" ref="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7" s="1" t="str" cm="1">
        <f t="array" aca="1" ref="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7" s="1" t="str" cm="1">
        <f t="array" aca="1" ref="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7" s="1" t="str" cm="1">
        <f t="array" aca="1" ref="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7" s="1" t="str" cm="1">
        <f t="array" aca="1" ref="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7" s="1" t="str" cm="1">
        <f t="array" aca="1" ref="F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7" s="1" t="str" cm="1">
        <f t="array" aca="1" ref="G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7" s="1" t="str" cm="1">
        <f t="array" aca="1" ref="H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7" s="1" t="str" cm="1">
        <f t="array" aca="1" ref="I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7" s="1" t="str" cm="1">
        <f t="array" aca="1" ref="J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7" s="1" t="str" cm="1">
        <f t="array" aca="1" ref="K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7" s="1" t="str" cm="1">
        <f t="array" aca="1" ref="L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7" s="1" t="str" cm="1">
        <f t="array" aca="1" ref="M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7" s="1" t="str" cm="1">
        <f t="array" aca="1" ref="N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7" s="1" t="str" cm="1">
        <f t="array" aca="1" ref="O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7" s="1" t="str" cm="1">
        <f t="array" aca="1" ref="P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7" s="1" t="str" cm="1">
        <f t="array" aca="1" ref="Q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7" s="1" t="str" cm="1">
        <f t="array" aca="1" ref="R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7" s="1" t="str" cm="1">
        <f t="array" aca="1" ref="S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7" s="1" t="str" cm="1">
        <f t="array" aca="1" ref="T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7" s="1" t="str" cm="1">
        <f t="array" aca="1" ref="U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7" s="1" t="str" cm="1">
        <f t="array" aca="1" ref="V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7" s="1" t="str" cm="1">
        <f t="array" aca="1" ref="W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7" s="1" t="str" cm="1">
        <f t="array" aca="1" ref="X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7" s="1" t="str" cm="1">
        <f t="array" aca="1" ref="Y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7" s="1" t="str" cm="1">
        <f t="array" aca="1" ref="Z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7" s="1" t="str" cm="1">
        <f t="array" aca="1" ref="AA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7" s="1" t="str" cm="1">
        <f t="array" aca="1" ref="AB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7" s="1" t="str" cm="1">
        <f t="array" aca="1" ref="AC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7" s="1" t="str" cm="1">
        <f t="array" aca="1" ref="AD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7" s="1" t="str" cm="1">
        <f t="array" aca="1" ref="AE1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8" spans="1:31">
      <c r="A108" s="1" t="str" cm="1">
        <f t="array" aca="1" ref="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8" s="1" t="str" cm="1">
        <f t="array" aca="1" ref="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8" s="1" t="str" cm="1">
        <f t="array" aca="1" ref="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8" s="1" t="str" cm="1">
        <f t="array" aca="1" ref="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8" s="1" t="str" cm="1">
        <f t="array" aca="1" ref="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8" s="1" t="str" cm="1">
        <f t="array" aca="1" ref="F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8" s="1" t="str" cm="1">
        <f t="array" aca="1" ref="G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8" s="1" t="str" cm="1">
        <f t="array" aca="1" ref="H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8" s="1" t="str" cm="1">
        <f t="array" aca="1" ref="I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8" s="1" t="str" cm="1">
        <f t="array" aca="1" ref="J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8" s="1" t="str" cm="1">
        <f t="array" aca="1" ref="K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8" s="1" t="str" cm="1">
        <f t="array" aca="1" ref="L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8" s="1" t="str" cm="1">
        <f t="array" aca="1" ref="M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8" s="1" t="str" cm="1">
        <f t="array" aca="1" ref="N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8" s="1" t="str" cm="1">
        <f t="array" aca="1" ref="O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8" s="1" t="str" cm="1">
        <f t="array" aca="1" ref="P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8" s="1" t="str" cm="1">
        <f t="array" aca="1" ref="Q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8" s="1" t="str" cm="1">
        <f t="array" aca="1" ref="R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8" s="1" t="str" cm="1">
        <f t="array" aca="1" ref="S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8" s="1" t="str" cm="1">
        <f t="array" aca="1" ref="T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8" s="1" t="str" cm="1">
        <f t="array" aca="1" ref="U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8" s="1" t="str" cm="1">
        <f t="array" aca="1" ref="V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8" s="1" t="str" cm="1">
        <f t="array" aca="1" ref="W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8" s="1" t="str" cm="1">
        <f t="array" aca="1" ref="X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8" s="1" t="str" cm="1">
        <f t="array" aca="1" ref="Y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8" s="1" t="str" cm="1">
        <f t="array" aca="1" ref="Z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8" s="1" t="str" cm="1">
        <f t="array" aca="1" ref="AA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8" s="1" t="str" cm="1">
        <f t="array" aca="1" ref="AB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8" s="1" t="str" cm="1">
        <f t="array" aca="1" ref="AC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8" s="1" t="str" cm="1">
        <f t="array" aca="1" ref="AD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8" s="1" t="str" cm="1">
        <f t="array" aca="1" ref="AE1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09" spans="1:31">
      <c r="A109" s="1" t="str" cm="1">
        <f t="array" aca="1" ref="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09" s="1" t="str" cm="1">
        <f t="array" aca="1" ref="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09" s="1" t="str" cm="1">
        <f t="array" aca="1" ref="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09" s="1" t="str" cm="1">
        <f t="array" aca="1" ref="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09" s="1" t="str" cm="1">
        <f t="array" aca="1" ref="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09" s="1" t="str" cm="1">
        <f t="array" aca="1" ref="F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09" s="1" t="str" cm="1">
        <f t="array" aca="1" ref="G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09" s="1" t="str" cm="1">
        <f t="array" aca="1" ref="H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09" s="1" t="str" cm="1">
        <f t="array" aca="1" ref="I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09" s="1" t="str" cm="1">
        <f t="array" aca="1" ref="J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09" s="1" t="str" cm="1">
        <f t="array" aca="1" ref="K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09" s="1" t="str" cm="1">
        <f t="array" aca="1" ref="L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09" s="1" t="str" cm="1">
        <f t="array" aca="1" ref="M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09" s="1" t="str" cm="1">
        <f t="array" aca="1" ref="N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09" s="1" t="str" cm="1">
        <f t="array" aca="1" ref="O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09" s="1" t="str" cm="1">
        <f t="array" aca="1" ref="P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09" s="1" t="str" cm="1">
        <f t="array" aca="1" ref="Q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09" s="1" t="str" cm="1">
        <f t="array" aca="1" ref="R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09" s="1" t="str" cm="1">
        <f t="array" aca="1" ref="S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09" s="1" t="str" cm="1">
        <f t="array" aca="1" ref="T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09" s="1" t="str" cm="1">
        <f t="array" aca="1" ref="U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09" s="1" t="str" cm="1">
        <f t="array" aca="1" ref="V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09" s="1" t="str" cm="1">
        <f t="array" aca="1" ref="W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09" s="1" t="str" cm="1">
        <f t="array" aca="1" ref="X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09" s="1" t="str" cm="1">
        <f t="array" aca="1" ref="Y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09" s="1" t="str" cm="1">
        <f t="array" aca="1" ref="Z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09" s="1" t="str" cm="1">
        <f t="array" aca="1" ref="AA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09" s="1" t="str" cm="1">
        <f t="array" aca="1" ref="AB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09" s="1" t="str" cm="1">
        <f t="array" aca="1" ref="AC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09" s="1" t="str" cm="1">
        <f t="array" aca="1" ref="AD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09" s="1" t="str" cm="1">
        <f t="array" aca="1" ref="AE1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0" spans="1:31">
      <c r="A110" s="1" t="str" cm="1">
        <f t="array" aca="1" ref="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0" s="1" t="str" cm="1">
        <f t="array" aca="1" ref="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0" s="1" t="str" cm="1">
        <f t="array" aca="1" ref="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0" s="1" t="str" cm="1">
        <f t="array" aca="1" ref="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0" s="1" t="str" cm="1">
        <f t="array" aca="1" ref="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0" s="1" t="str" cm="1">
        <f t="array" aca="1" ref="F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0" s="1" t="str" cm="1">
        <f t="array" aca="1" ref="G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0" s="1" t="str" cm="1">
        <f t="array" aca="1" ref="H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0" s="1" t="str" cm="1">
        <f t="array" aca="1" ref="I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0" s="1" t="str" cm="1">
        <f t="array" aca="1" ref="J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0" s="1" t="str" cm="1">
        <f t="array" aca="1" ref="K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0" s="1" t="str" cm="1">
        <f t="array" aca="1" ref="L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0" s="1" t="str" cm="1">
        <f t="array" aca="1" ref="M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0" s="1" t="str" cm="1">
        <f t="array" aca="1" ref="N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0" s="1" t="str" cm="1">
        <f t="array" aca="1" ref="O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0" s="1" t="str" cm="1">
        <f t="array" aca="1" ref="P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0" s="1" t="str" cm="1">
        <f t="array" aca="1" ref="Q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0" s="1" t="str" cm="1">
        <f t="array" aca="1" ref="R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0" s="1" t="str" cm="1">
        <f t="array" aca="1" ref="S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0" s="1" t="str" cm="1">
        <f t="array" aca="1" ref="T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0" s="1" t="str" cm="1">
        <f t="array" aca="1" ref="U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0" s="1" t="str" cm="1">
        <f t="array" aca="1" ref="V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0" s="1" t="str" cm="1">
        <f t="array" aca="1" ref="W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0" s="1" t="str" cm="1">
        <f t="array" aca="1" ref="X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0" s="1" t="str" cm="1">
        <f t="array" aca="1" ref="Y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0" s="1" t="str" cm="1">
        <f t="array" aca="1" ref="Z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0" s="1" t="str" cm="1">
        <f t="array" aca="1" ref="AA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0" s="1" t="str" cm="1">
        <f t="array" aca="1" ref="AB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0" s="1" t="str" cm="1">
        <f t="array" aca="1" ref="AC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0" s="1" t="str" cm="1">
        <f t="array" aca="1" ref="AD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0" s="1" t="str" cm="1">
        <f t="array" aca="1" ref="AE1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1" spans="1:31">
      <c r="A111" s="1" t="str" cm="1">
        <f t="array" aca="1" ref="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1" s="1" t="str" cm="1">
        <f t="array" aca="1" ref="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1" s="1" t="str" cm="1">
        <f t="array" aca="1" ref="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1" s="1" t="str" cm="1">
        <f t="array" aca="1" ref="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1" s="1" t="str" cm="1">
        <f t="array" aca="1" ref="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1" s="1" t="str" cm="1">
        <f t="array" aca="1" ref="F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1" s="1" t="str" cm="1">
        <f t="array" aca="1" ref="G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1" s="1" t="str" cm="1">
        <f t="array" aca="1" ref="H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1" s="1" t="str" cm="1">
        <f t="array" aca="1" ref="I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1" s="1" t="str" cm="1">
        <f t="array" aca="1" ref="J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1" s="1" t="str" cm="1">
        <f t="array" aca="1" ref="K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1" s="1" t="str" cm="1">
        <f t="array" aca="1" ref="L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1" s="1" t="str" cm="1">
        <f t="array" aca="1" ref="M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1" s="1" t="str" cm="1">
        <f t="array" aca="1" ref="N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1" s="1" t="str" cm="1">
        <f t="array" aca="1" ref="O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1" s="1" t="str" cm="1">
        <f t="array" aca="1" ref="P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1" s="1" t="str" cm="1">
        <f t="array" aca="1" ref="Q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1" s="1" t="str" cm="1">
        <f t="array" aca="1" ref="R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1" s="1" t="str" cm="1">
        <f t="array" aca="1" ref="S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1" s="1" t="str" cm="1">
        <f t="array" aca="1" ref="T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1" s="1" t="str" cm="1">
        <f t="array" aca="1" ref="U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1" s="1" t="str" cm="1">
        <f t="array" aca="1" ref="V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1" s="1" t="str" cm="1">
        <f t="array" aca="1" ref="W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1" s="1" t="str" cm="1">
        <f t="array" aca="1" ref="X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1" s="1" t="str" cm="1">
        <f t="array" aca="1" ref="Y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1" s="1" t="str" cm="1">
        <f t="array" aca="1" ref="Z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1" s="1" t="str" cm="1">
        <f t="array" aca="1" ref="AA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1" s="1" t="str" cm="1">
        <f t="array" aca="1" ref="AB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1" s="1" t="str" cm="1">
        <f t="array" aca="1" ref="AC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1" s="1" t="str" cm="1">
        <f t="array" aca="1" ref="AD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1" s="1" t="str" cm="1">
        <f t="array" aca="1" ref="AE1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2" spans="1:31">
      <c r="A112" s="1" t="str" cm="1">
        <f t="array" aca="1" ref="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2" s="1" t="str" cm="1">
        <f t="array" aca="1" ref="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2" s="1" t="str" cm="1">
        <f t="array" aca="1" ref="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2" s="1" t="str" cm="1">
        <f t="array" aca="1" ref="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2" s="1" t="str" cm="1">
        <f t="array" aca="1" ref="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2" s="1" t="str" cm="1">
        <f t="array" aca="1" ref="F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2" s="1" t="str" cm="1">
        <f t="array" aca="1" ref="G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2" s="1" t="str" cm="1">
        <f t="array" aca="1" ref="H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2" s="1" t="str" cm="1">
        <f t="array" aca="1" ref="I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2" s="1" t="str" cm="1">
        <f t="array" aca="1" ref="J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2" s="1" t="str" cm="1">
        <f t="array" aca="1" ref="K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2" s="1" t="str" cm="1">
        <f t="array" aca="1" ref="L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2" s="1" t="str" cm="1">
        <f t="array" aca="1" ref="M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2" s="1" t="str" cm="1">
        <f t="array" aca="1" ref="N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2" s="1" t="str" cm="1">
        <f t="array" aca="1" ref="O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2" s="1" t="str" cm="1">
        <f t="array" aca="1" ref="P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2" s="1" t="str" cm="1">
        <f t="array" aca="1" ref="Q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2" s="1" t="str" cm="1">
        <f t="array" aca="1" ref="R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2" s="1" t="str" cm="1">
        <f t="array" aca="1" ref="S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2" s="1" t="str" cm="1">
        <f t="array" aca="1" ref="T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2" s="1" t="str" cm="1">
        <f t="array" aca="1" ref="U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2" s="1" t="str" cm="1">
        <f t="array" aca="1" ref="V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2" s="1" t="str" cm="1">
        <f t="array" aca="1" ref="W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2" s="1" t="str" cm="1">
        <f t="array" aca="1" ref="X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2" s="1" t="str" cm="1">
        <f t="array" aca="1" ref="Y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2" s="1" t="str" cm="1">
        <f t="array" aca="1" ref="Z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2" s="1" t="str" cm="1">
        <f t="array" aca="1" ref="AA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2" s="1" t="str" cm="1">
        <f t="array" aca="1" ref="AB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2" s="1" t="str" cm="1">
        <f t="array" aca="1" ref="AC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2" s="1" t="str" cm="1">
        <f t="array" aca="1" ref="AD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2" s="1" t="str" cm="1">
        <f t="array" aca="1" ref="AE1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3" spans="1:31">
      <c r="A113" s="1" t="str" cm="1">
        <f t="array" aca="1" ref="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3" s="1" t="str" cm="1">
        <f t="array" aca="1" ref="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3" s="1" t="str" cm="1">
        <f t="array" aca="1" ref="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3" s="1" t="str" cm="1">
        <f t="array" aca="1" ref="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3" s="1" t="str" cm="1">
        <f t="array" aca="1" ref="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3" s="1" t="str" cm="1">
        <f t="array" aca="1" ref="F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3" s="1" t="str" cm="1">
        <f t="array" aca="1" ref="G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3" s="1" t="str" cm="1">
        <f t="array" aca="1" ref="H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3" s="1" t="str" cm="1">
        <f t="array" aca="1" ref="I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3" s="1" t="str" cm="1">
        <f t="array" aca="1" ref="J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3" s="1" t="str" cm="1">
        <f t="array" aca="1" ref="K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3" s="1" t="str" cm="1">
        <f t="array" aca="1" ref="L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3" s="1" t="str" cm="1">
        <f t="array" aca="1" ref="M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3" s="1" t="str" cm="1">
        <f t="array" aca="1" ref="N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3" s="1" t="str" cm="1">
        <f t="array" aca="1" ref="O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3" s="1" t="str" cm="1">
        <f t="array" aca="1" ref="P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3" s="1" t="str" cm="1">
        <f t="array" aca="1" ref="Q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3" s="1" t="str" cm="1">
        <f t="array" aca="1" ref="R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3" s="1" t="str" cm="1">
        <f t="array" aca="1" ref="S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3" s="1" t="str" cm="1">
        <f t="array" aca="1" ref="T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3" s="1" t="str" cm="1">
        <f t="array" aca="1" ref="U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3" s="1" t="str" cm="1">
        <f t="array" aca="1" ref="V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3" s="1" t="str" cm="1">
        <f t="array" aca="1" ref="W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3" s="1" t="str" cm="1">
        <f t="array" aca="1" ref="X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3" s="1" t="str" cm="1">
        <f t="array" aca="1" ref="Y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3" s="1" t="str" cm="1">
        <f t="array" aca="1" ref="Z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3" s="1" t="str" cm="1">
        <f t="array" aca="1" ref="AA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3" s="1" t="str" cm="1">
        <f t="array" aca="1" ref="AB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3" s="1" t="str" cm="1">
        <f t="array" aca="1" ref="AC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3" s="1" t="str" cm="1">
        <f t="array" aca="1" ref="AD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3" s="1" t="str" cm="1">
        <f t="array" aca="1" ref="AE1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4" spans="1:31">
      <c r="A114" s="1" t="str" cm="1">
        <f t="array" aca="1" ref="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4" s="1" t="str" cm="1">
        <f t="array" aca="1" ref="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4" s="1" t="str" cm="1">
        <f t="array" aca="1" ref="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4" s="1" t="str" cm="1">
        <f t="array" aca="1" ref="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4" s="1" t="str" cm="1">
        <f t="array" aca="1" ref="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4" s="1" t="str" cm="1">
        <f t="array" aca="1" ref="F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4" s="1" t="str" cm="1">
        <f t="array" aca="1" ref="G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4" s="1" t="str" cm="1">
        <f t="array" aca="1" ref="H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4" s="1" t="str" cm="1">
        <f t="array" aca="1" ref="I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4" s="1" t="str" cm="1">
        <f t="array" aca="1" ref="J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4" s="1" t="str" cm="1">
        <f t="array" aca="1" ref="K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4" s="1" t="str" cm="1">
        <f t="array" aca="1" ref="L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4" s="1" t="str" cm="1">
        <f t="array" aca="1" ref="M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4" s="1" t="str" cm="1">
        <f t="array" aca="1" ref="N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4" s="1" t="str" cm="1">
        <f t="array" aca="1" ref="O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4" s="1" t="str" cm="1">
        <f t="array" aca="1" ref="P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4" s="1" t="str" cm="1">
        <f t="array" aca="1" ref="Q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4" s="1" t="str" cm="1">
        <f t="array" aca="1" ref="R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4" s="1" t="str" cm="1">
        <f t="array" aca="1" ref="S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4" s="1" t="str" cm="1">
        <f t="array" aca="1" ref="T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4" s="1" t="str" cm="1">
        <f t="array" aca="1" ref="U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4" s="1" t="str" cm="1">
        <f t="array" aca="1" ref="V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4" s="1" t="str" cm="1">
        <f t="array" aca="1" ref="W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4" s="1" t="str" cm="1">
        <f t="array" aca="1" ref="X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4" s="1" t="str" cm="1">
        <f t="array" aca="1" ref="Y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4" s="1" t="str" cm="1">
        <f t="array" aca="1" ref="Z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4" s="1" t="str" cm="1">
        <f t="array" aca="1" ref="AA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4" s="1" t="str" cm="1">
        <f t="array" aca="1" ref="AB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4" s="1" t="str" cm="1">
        <f t="array" aca="1" ref="AC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4" s="1" t="str" cm="1">
        <f t="array" aca="1" ref="AD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4" s="1" t="str" cm="1">
        <f t="array" aca="1" ref="AE1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5" spans="1:31">
      <c r="A115" s="1" t="str" cm="1">
        <f t="array" aca="1" ref="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5" s="1" t="str" cm="1">
        <f t="array" aca="1" ref="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5" s="1" t="str" cm="1">
        <f t="array" aca="1" ref="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5" s="1" t="str" cm="1">
        <f t="array" aca="1" ref="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5" s="1" t="str" cm="1">
        <f t="array" aca="1" ref="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5" s="1" t="str" cm="1">
        <f t="array" aca="1" ref="F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5" s="1" t="str" cm="1">
        <f t="array" aca="1" ref="G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5" s="1" t="str" cm="1">
        <f t="array" aca="1" ref="H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5" s="1" t="str" cm="1">
        <f t="array" aca="1" ref="I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5" s="1" t="str" cm="1">
        <f t="array" aca="1" ref="J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5" s="1" t="str" cm="1">
        <f t="array" aca="1" ref="K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5" s="1" t="str" cm="1">
        <f t="array" aca="1" ref="L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5" s="1" t="str" cm="1">
        <f t="array" aca="1" ref="M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5" s="1" t="str" cm="1">
        <f t="array" aca="1" ref="N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5" s="1" t="str" cm="1">
        <f t="array" aca="1" ref="O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5" s="1" t="str" cm="1">
        <f t="array" aca="1" ref="P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5" s="1" t="str" cm="1">
        <f t="array" aca="1" ref="Q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5" s="1" t="str" cm="1">
        <f t="array" aca="1" ref="R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5" s="1" t="str" cm="1">
        <f t="array" aca="1" ref="S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5" s="1" t="str" cm="1">
        <f t="array" aca="1" ref="T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5" s="1" t="str" cm="1">
        <f t="array" aca="1" ref="U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5" s="1" t="str" cm="1">
        <f t="array" aca="1" ref="V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5" s="1" t="str" cm="1">
        <f t="array" aca="1" ref="W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5" s="1" t="str" cm="1">
        <f t="array" aca="1" ref="X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5" s="1" t="str" cm="1">
        <f t="array" aca="1" ref="Y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5" s="1" t="str" cm="1">
        <f t="array" aca="1" ref="Z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5" s="1" t="str" cm="1">
        <f t="array" aca="1" ref="AA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5" s="1" t="str" cm="1">
        <f t="array" aca="1" ref="AB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5" s="1" t="str" cm="1">
        <f t="array" aca="1" ref="AC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5" s="1" t="str" cm="1">
        <f t="array" aca="1" ref="AD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5" s="1" t="str" cm="1">
        <f t="array" aca="1" ref="AE1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6" spans="1:31">
      <c r="A116" s="1" t="str" cm="1">
        <f t="array" aca="1" ref="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6" s="1" t="str" cm="1">
        <f t="array" aca="1" ref="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6" s="1" t="str" cm="1">
        <f t="array" aca="1" ref="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6" s="1" t="str" cm="1">
        <f t="array" aca="1" ref="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6" s="1" t="str" cm="1">
        <f t="array" aca="1" ref="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6" s="1" t="str" cm="1">
        <f t="array" aca="1" ref="F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6" s="1" t="str" cm="1">
        <f t="array" aca="1" ref="G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6" s="1" t="str" cm="1">
        <f t="array" aca="1" ref="H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6" s="1" t="str" cm="1">
        <f t="array" aca="1" ref="I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6" s="1" t="str" cm="1">
        <f t="array" aca="1" ref="J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6" s="1" t="str" cm="1">
        <f t="array" aca="1" ref="K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6" s="1" t="str" cm="1">
        <f t="array" aca="1" ref="L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6" s="1" t="str" cm="1">
        <f t="array" aca="1" ref="M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6" s="1" t="str" cm="1">
        <f t="array" aca="1" ref="N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6" s="1" t="str" cm="1">
        <f t="array" aca="1" ref="O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6" s="1" t="str" cm="1">
        <f t="array" aca="1" ref="P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6" s="1" t="str" cm="1">
        <f t="array" aca="1" ref="Q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6" s="1" t="str" cm="1">
        <f t="array" aca="1" ref="R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6" s="1" t="str" cm="1">
        <f t="array" aca="1" ref="S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6" s="1" t="str" cm="1">
        <f t="array" aca="1" ref="T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6" s="1" t="str" cm="1">
        <f t="array" aca="1" ref="U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6" s="1" t="str" cm="1">
        <f t="array" aca="1" ref="V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6" s="1" t="str" cm="1">
        <f t="array" aca="1" ref="W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6" s="1" t="str" cm="1">
        <f t="array" aca="1" ref="X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6" s="1" t="str" cm="1">
        <f t="array" aca="1" ref="Y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6" s="1" t="str" cm="1">
        <f t="array" aca="1" ref="Z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6" s="1" t="str" cm="1">
        <f t="array" aca="1" ref="AA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6" s="1" t="str" cm="1">
        <f t="array" aca="1" ref="AB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6" s="1" t="str" cm="1">
        <f t="array" aca="1" ref="AC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6" s="1" t="str" cm="1">
        <f t="array" aca="1" ref="AD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6" s="1" t="str" cm="1">
        <f t="array" aca="1" ref="AE1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7" spans="1:31">
      <c r="A117" s="1" t="str" cm="1">
        <f t="array" aca="1" ref="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7" s="1" t="str" cm="1">
        <f t="array" aca="1" ref="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7" s="1" t="str" cm="1">
        <f t="array" aca="1" ref="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7" s="1" t="str" cm="1">
        <f t="array" aca="1" ref="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7" s="1" t="str" cm="1">
        <f t="array" aca="1" ref="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7" s="1" t="str" cm="1">
        <f t="array" aca="1" ref="F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7" s="1" t="str" cm="1">
        <f t="array" aca="1" ref="G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7" s="1" t="str" cm="1">
        <f t="array" aca="1" ref="H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7" s="1" t="str" cm="1">
        <f t="array" aca="1" ref="I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7" s="1" t="str" cm="1">
        <f t="array" aca="1" ref="J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7" s="1" t="str" cm="1">
        <f t="array" aca="1" ref="K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7" s="1" t="str" cm="1">
        <f t="array" aca="1" ref="L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7" s="1" t="str" cm="1">
        <f t="array" aca="1" ref="M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7" s="1" t="str" cm="1">
        <f t="array" aca="1" ref="N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7" s="1" t="str" cm="1">
        <f t="array" aca="1" ref="O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7" s="1" t="str" cm="1">
        <f t="array" aca="1" ref="P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7" s="1" t="str" cm="1">
        <f t="array" aca="1" ref="Q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7" s="1" t="str" cm="1">
        <f t="array" aca="1" ref="R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7" s="1" t="str" cm="1">
        <f t="array" aca="1" ref="S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7" s="1" t="str" cm="1">
        <f t="array" aca="1" ref="T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7" s="1" t="str" cm="1">
        <f t="array" aca="1" ref="U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7" s="1" t="str" cm="1">
        <f t="array" aca="1" ref="V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7" s="1" t="str" cm="1">
        <f t="array" aca="1" ref="W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7" s="1" t="str" cm="1">
        <f t="array" aca="1" ref="X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7" s="1" t="str" cm="1">
        <f t="array" aca="1" ref="Y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7" s="1" t="str" cm="1">
        <f t="array" aca="1" ref="Z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7" s="1" t="str" cm="1">
        <f t="array" aca="1" ref="AA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7" s="1" t="str" cm="1">
        <f t="array" aca="1" ref="AB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7" s="1" t="str" cm="1">
        <f t="array" aca="1" ref="AC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7" s="1" t="str" cm="1">
        <f t="array" aca="1" ref="AD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7" s="1" t="str" cm="1">
        <f t="array" aca="1" ref="AE1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8" spans="1:31">
      <c r="A118" s="1" t="str" cm="1">
        <f t="array" aca="1" ref="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8" s="1" t="str" cm="1">
        <f t="array" aca="1" ref="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8" s="1" t="str" cm="1">
        <f t="array" aca="1" ref="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8" s="1" t="str" cm="1">
        <f t="array" aca="1" ref="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8" s="1" t="str" cm="1">
        <f t="array" aca="1" ref="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8" s="1" t="str" cm="1">
        <f t="array" aca="1" ref="F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8" s="1" t="str" cm="1">
        <f t="array" aca="1" ref="G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8" s="1" t="str" cm="1">
        <f t="array" aca="1" ref="H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8" s="1" t="str" cm="1">
        <f t="array" aca="1" ref="I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8" s="1" t="str" cm="1">
        <f t="array" aca="1" ref="J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8" s="1" t="str" cm="1">
        <f t="array" aca="1" ref="K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8" s="1" t="str" cm="1">
        <f t="array" aca="1" ref="L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8" s="1" t="str" cm="1">
        <f t="array" aca="1" ref="M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8" s="1" t="str" cm="1">
        <f t="array" aca="1" ref="N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8" s="1" t="str" cm="1">
        <f t="array" aca="1" ref="O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8" s="1" t="str" cm="1">
        <f t="array" aca="1" ref="P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8" s="1" t="str" cm="1">
        <f t="array" aca="1" ref="Q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8" s="1" t="str" cm="1">
        <f t="array" aca="1" ref="R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8" s="1" t="str" cm="1">
        <f t="array" aca="1" ref="S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8" s="1" t="str" cm="1">
        <f t="array" aca="1" ref="T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8" s="1" t="str" cm="1">
        <f t="array" aca="1" ref="U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8" s="1" t="str" cm="1">
        <f t="array" aca="1" ref="V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8" s="1" t="str" cm="1">
        <f t="array" aca="1" ref="W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8" s="1" t="str" cm="1">
        <f t="array" aca="1" ref="X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8" s="1" t="str" cm="1">
        <f t="array" aca="1" ref="Y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8" s="1" t="str" cm="1">
        <f t="array" aca="1" ref="Z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8" s="1" t="str" cm="1">
        <f t="array" aca="1" ref="AA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8" s="1" t="str" cm="1">
        <f t="array" aca="1" ref="AB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8" s="1" t="str" cm="1">
        <f t="array" aca="1" ref="AC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8" s="1" t="str" cm="1">
        <f t="array" aca="1" ref="AD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8" s="1" t="str" cm="1">
        <f t="array" aca="1" ref="AE1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19" spans="1:31">
      <c r="A119" s="1" t="str" cm="1">
        <f t="array" aca="1" ref="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19" s="1" t="str" cm="1">
        <f t="array" aca="1" ref="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19" s="1" t="str" cm="1">
        <f t="array" aca="1" ref="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19" s="1" t="str" cm="1">
        <f t="array" aca="1" ref="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19" s="1" t="str" cm="1">
        <f t="array" aca="1" ref="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19" s="1" t="str" cm="1">
        <f t="array" aca="1" ref="F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19" s="1" t="str" cm="1">
        <f t="array" aca="1" ref="G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19" s="1" t="str" cm="1">
        <f t="array" aca="1" ref="H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19" s="1" t="str" cm="1">
        <f t="array" aca="1" ref="I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19" s="1" t="str" cm="1">
        <f t="array" aca="1" ref="J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19" s="1" t="str" cm="1">
        <f t="array" aca="1" ref="K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19" s="1" t="str" cm="1">
        <f t="array" aca="1" ref="L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19" s="1" t="str" cm="1">
        <f t="array" aca="1" ref="M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19" s="1" t="str" cm="1">
        <f t="array" aca="1" ref="N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19" s="1" t="str" cm="1">
        <f t="array" aca="1" ref="O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19" s="1" t="str" cm="1">
        <f t="array" aca="1" ref="P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19" s="1" t="str" cm="1">
        <f t="array" aca="1" ref="Q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19" s="1" t="str" cm="1">
        <f t="array" aca="1" ref="R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19" s="1" t="str" cm="1">
        <f t="array" aca="1" ref="S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19" s="1" t="str" cm="1">
        <f t="array" aca="1" ref="T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19" s="1" t="str" cm="1">
        <f t="array" aca="1" ref="U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19" s="1" t="str" cm="1">
        <f t="array" aca="1" ref="V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19" s="1" t="str" cm="1">
        <f t="array" aca="1" ref="W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19" s="1" t="str" cm="1">
        <f t="array" aca="1" ref="X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19" s="1" t="str" cm="1">
        <f t="array" aca="1" ref="Y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19" s="1" t="str" cm="1">
        <f t="array" aca="1" ref="Z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19" s="1" t="str" cm="1">
        <f t="array" aca="1" ref="AA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19" s="1" t="str" cm="1">
        <f t="array" aca="1" ref="AB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19" s="1" t="str" cm="1">
        <f t="array" aca="1" ref="AC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19" s="1" t="str" cm="1">
        <f t="array" aca="1" ref="AD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19" s="1" t="str" cm="1">
        <f t="array" aca="1" ref="AE1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0" spans="1:31">
      <c r="A120" s="1" t="str" cm="1">
        <f t="array" aca="1" ref="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0" s="1" t="str" cm="1">
        <f t="array" aca="1" ref="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0" s="1" t="str" cm="1">
        <f t="array" aca="1" ref="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0" s="1" t="str" cm="1">
        <f t="array" aca="1" ref="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0" s="1" t="str" cm="1">
        <f t="array" aca="1" ref="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0" s="1" t="str" cm="1">
        <f t="array" aca="1" ref="F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0" s="1" t="str" cm="1">
        <f t="array" aca="1" ref="G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0" s="1" t="str" cm="1">
        <f t="array" aca="1" ref="H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0" s="1" t="str" cm="1">
        <f t="array" aca="1" ref="I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0" s="1" t="str" cm="1">
        <f t="array" aca="1" ref="J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0" s="1" t="str" cm="1">
        <f t="array" aca="1" ref="K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0" s="1" t="str" cm="1">
        <f t="array" aca="1" ref="L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0" s="1" t="str" cm="1">
        <f t="array" aca="1" ref="M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0" s="1" t="str" cm="1">
        <f t="array" aca="1" ref="N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0" s="1" t="str" cm="1">
        <f t="array" aca="1" ref="O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0" s="1" t="str" cm="1">
        <f t="array" aca="1" ref="P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0" s="1" t="str" cm="1">
        <f t="array" aca="1" ref="Q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0" s="1" t="str" cm="1">
        <f t="array" aca="1" ref="R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0" s="1" t="str" cm="1">
        <f t="array" aca="1" ref="S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0" s="1" t="str" cm="1">
        <f t="array" aca="1" ref="T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0" s="1" t="str" cm="1">
        <f t="array" aca="1" ref="U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0" s="1" t="str" cm="1">
        <f t="array" aca="1" ref="V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0" s="1" t="str" cm="1">
        <f t="array" aca="1" ref="W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0" s="1" t="str" cm="1">
        <f t="array" aca="1" ref="X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0" s="1" t="str" cm="1">
        <f t="array" aca="1" ref="Y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0" s="1" t="str" cm="1">
        <f t="array" aca="1" ref="Z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0" s="1" t="str" cm="1">
        <f t="array" aca="1" ref="AA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0" s="1" t="str" cm="1">
        <f t="array" aca="1" ref="AB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0" s="1" t="str" cm="1">
        <f t="array" aca="1" ref="AC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0" s="1" t="str" cm="1">
        <f t="array" aca="1" ref="AD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0" s="1" t="str" cm="1">
        <f t="array" aca="1" ref="AE1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1" spans="1:31">
      <c r="A121" s="1" t="str" cm="1">
        <f t="array" aca="1" ref="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1" s="1" t="str" cm="1">
        <f t="array" aca="1" ref="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1" s="1" t="str" cm="1">
        <f t="array" aca="1" ref="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1" s="1" t="str" cm="1">
        <f t="array" aca="1" ref="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1" s="1" t="str" cm="1">
        <f t="array" aca="1" ref="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1" s="1" t="str" cm="1">
        <f t="array" aca="1" ref="F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1" s="1" t="str" cm="1">
        <f t="array" aca="1" ref="G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1" s="1" t="str" cm="1">
        <f t="array" aca="1" ref="H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1" s="1" t="str" cm="1">
        <f t="array" aca="1" ref="I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1" s="1" t="str" cm="1">
        <f t="array" aca="1" ref="J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1" s="1" t="str" cm="1">
        <f t="array" aca="1" ref="K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1" s="1" t="str" cm="1">
        <f t="array" aca="1" ref="L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1" s="1" t="str" cm="1">
        <f t="array" aca="1" ref="M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1" s="1" t="str" cm="1">
        <f t="array" aca="1" ref="N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1" s="1" t="str" cm="1">
        <f t="array" aca="1" ref="O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1" s="1" t="str" cm="1">
        <f t="array" aca="1" ref="P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1" s="1" t="str" cm="1">
        <f t="array" aca="1" ref="Q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1" s="1" t="str" cm="1">
        <f t="array" aca="1" ref="R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1" s="1" t="str" cm="1">
        <f t="array" aca="1" ref="S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1" s="1" t="str" cm="1">
        <f t="array" aca="1" ref="T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1" s="1" t="str" cm="1">
        <f t="array" aca="1" ref="U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1" s="1" t="str" cm="1">
        <f t="array" aca="1" ref="V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1" s="1" t="str" cm="1">
        <f t="array" aca="1" ref="W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1" s="1" t="str" cm="1">
        <f t="array" aca="1" ref="X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1" s="1" t="str" cm="1">
        <f t="array" aca="1" ref="Y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1" s="1" t="str" cm="1">
        <f t="array" aca="1" ref="Z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1" s="1" t="str" cm="1">
        <f t="array" aca="1" ref="AA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1" s="1" t="str" cm="1">
        <f t="array" aca="1" ref="AB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1" s="1" t="str" cm="1">
        <f t="array" aca="1" ref="AC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1" s="1" t="str" cm="1">
        <f t="array" aca="1" ref="AD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1" s="1" t="str" cm="1">
        <f t="array" aca="1" ref="AE1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2" spans="1:31">
      <c r="A122" s="1" t="str" cm="1">
        <f t="array" aca="1" ref="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2" s="1" t="str" cm="1">
        <f t="array" aca="1" ref="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2" s="1" t="str" cm="1">
        <f t="array" aca="1" ref="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2" s="1" t="str" cm="1">
        <f t="array" aca="1" ref="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2" s="1" t="str" cm="1">
        <f t="array" aca="1" ref="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2" s="1" t="str" cm="1">
        <f t="array" aca="1" ref="F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2" s="1" t="str" cm="1">
        <f t="array" aca="1" ref="G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2" s="1" t="str" cm="1">
        <f t="array" aca="1" ref="H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2" s="1" t="str" cm="1">
        <f t="array" aca="1" ref="I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2" s="1" t="str" cm="1">
        <f t="array" aca="1" ref="J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2" s="1" t="str" cm="1">
        <f t="array" aca="1" ref="K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2" s="1" t="str" cm="1">
        <f t="array" aca="1" ref="L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2" s="1" t="str" cm="1">
        <f t="array" aca="1" ref="M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2" s="1" t="str" cm="1">
        <f t="array" aca="1" ref="N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2" s="1" t="str" cm="1">
        <f t="array" aca="1" ref="O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2" s="1" t="str" cm="1">
        <f t="array" aca="1" ref="P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2" s="1" t="str" cm="1">
        <f t="array" aca="1" ref="Q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2" s="1" t="str" cm="1">
        <f t="array" aca="1" ref="R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2" s="1" t="str" cm="1">
        <f t="array" aca="1" ref="S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2" s="1" t="str" cm="1">
        <f t="array" aca="1" ref="T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2" s="1" t="str" cm="1">
        <f t="array" aca="1" ref="U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2" s="1" t="str" cm="1">
        <f t="array" aca="1" ref="V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2" s="1" t="str" cm="1">
        <f t="array" aca="1" ref="W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2" s="1" t="str" cm="1">
        <f t="array" aca="1" ref="X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2" s="1" t="str" cm="1">
        <f t="array" aca="1" ref="Y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2" s="1" t="str" cm="1">
        <f t="array" aca="1" ref="Z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2" s="1" t="str" cm="1">
        <f t="array" aca="1" ref="AA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2" s="1" t="str" cm="1">
        <f t="array" aca="1" ref="AB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2" s="1" t="str" cm="1">
        <f t="array" aca="1" ref="AC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2" s="1" t="str" cm="1">
        <f t="array" aca="1" ref="AD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2" s="1" t="str" cm="1">
        <f t="array" aca="1" ref="AE1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3" spans="1:31">
      <c r="A123" s="1" t="str" cm="1">
        <f t="array" aca="1" ref="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3" s="1" t="str" cm="1">
        <f t="array" aca="1" ref="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3" s="1" t="str" cm="1">
        <f t="array" aca="1" ref="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3" s="1" t="str" cm="1">
        <f t="array" aca="1" ref="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3" s="1" t="str" cm="1">
        <f t="array" aca="1" ref="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3" s="1" t="str" cm="1">
        <f t="array" aca="1" ref="F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3" s="1" t="str" cm="1">
        <f t="array" aca="1" ref="G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3" s="1" t="str" cm="1">
        <f t="array" aca="1" ref="H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3" s="1" t="str" cm="1">
        <f t="array" aca="1" ref="I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3" s="1" t="str" cm="1">
        <f t="array" aca="1" ref="J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3" s="1" t="str" cm="1">
        <f t="array" aca="1" ref="K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3" s="1" t="str" cm="1">
        <f t="array" aca="1" ref="L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3" s="1" t="str" cm="1">
        <f t="array" aca="1" ref="M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3" s="1" t="str" cm="1">
        <f t="array" aca="1" ref="N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3" s="1" t="str" cm="1">
        <f t="array" aca="1" ref="O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3" s="1" t="str" cm="1">
        <f t="array" aca="1" ref="P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3" s="1" t="str" cm="1">
        <f t="array" aca="1" ref="Q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3" s="1" t="str" cm="1">
        <f t="array" aca="1" ref="R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3" s="1" t="str" cm="1">
        <f t="array" aca="1" ref="S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3" s="1" t="str" cm="1">
        <f t="array" aca="1" ref="T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3" s="1" t="str" cm="1">
        <f t="array" aca="1" ref="U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3" s="1" t="str" cm="1">
        <f t="array" aca="1" ref="V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3" s="1" t="str" cm="1">
        <f t="array" aca="1" ref="W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3" s="1" t="str" cm="1">
        <f t="array" aca="1" ref="X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3" s="1" t="str" cm="1">
        <f t="array" aca="1" ref="Y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3" s="1" t="str" cm="1">
        <f t="array" aca="1" ref="Z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3" s="1" t="str" cm="1">
        <f t="array" aca="1" ref="AA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3" s="1" t="str" cm="1">
        <f t="array" aca="1" ref="AB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3" s="1" t="str" cm="1">
        <f t="array" aca="1" ref="AC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3" s="1" t="str" cm="1">
        <f t="array" aca="1" ref="AD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3" s="1" t="str" cm="1">
        <f t="array" aca="1" ref="AE1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4" spans="1:31">
      <c r="A124" s="1" t="str" cm="1">
        <f t="array" aca="1" ref="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4" s="1" t="str" cm="1">
        <f t="array" aca="1" ref="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4" s="1" t="str" cm="1">
        <f t="array" aca="1" ref="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4" s="1" t="str" cm="1">
        <f t="array" aca="1" ref="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4" s="1" t="str" cm="1">
        <f t="array" aca="1" ref="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4" s="1" t="str" cm="1">
        <f t="array" aca="1" ref="F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4" s="1" t="str" cm="1">
        <f t="array" aca="1" ref="G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4" s="1" t="str" cm="1">
        <f t="array" aca="1" ref="H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4" s="1" t="str" cm="1">
        <f t="array" aca="1" ref="I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4" s="1" t="str" cm="1">
        <f t="array" aca="1" ref="J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4" s="1" t="str" cm="1">
        <f t="array" aca="1" ref="K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4" s="1" t="str" cm="1">
        <f t="array" aca="1" ref="L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4" s="1" t="str" cm="1">
        <f t="array" aca="1" ref="M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4" s="1" t="str" cm="1">
        <f t="array" aca="1" ref="N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4" s="1" t="str" cm="1">
        <f t="array" aca="1" ref="O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4" s="1" t="str" cm="1">
        <f t="array" aca="1" ref="P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4" s="1" t="str" cm="1">
        <f t="array" aca="1" ref="Q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4" s="1" t="str" cm="1">
        <f t="array" aca="1" ref="R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4" s="1" t="str" cm="1">
        <f t="array" aca="1" ref="S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4" s="1" t="str" cm="1">
        <f t="array" aca="1" ref="T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4" s="1" t="str" cm="1">
        <f t="array" aca="1" ref="U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4" s="1" t="str" cm="1">
        <f t="array" aca="1" ref="V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4" s="1" t="str" cm="1">
        <f t="array" aca="1" ref="W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4" s="1" t="str" cm="1">
        <f t="array" aca="1" ref="X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4" s="1" t="str" cm="1">
        <f t="array" aca="1" ref="Y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4" s="1" t="str" cm="1">
        <f t="array" aca="1" ref="Z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4" s="1" t="str" cm="1">
        <f t="array" aca="1" ref="AA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4" s="1" t="str" cm="1">
        <f t="array" aca="1" ref="AB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4" s="1" t="str" cm="1">
        <f t="array" aca="1" ref="AC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4" s="1" t="str" cm="1">
        <f t="array" aca="1" ref="AD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4" s="1" t="str" cm="1">
        <f t="array" aca="1" ref="AE1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5" spans="1:31">
      <c r="A125" s="1" t="str" cm="1">
        <f t="array" aca="1" ref="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5" s="1" t="str" cm="1">
        <f t="array" aca="1" ref="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5" s="1" t="str" cm="1">
        <f t="array" aca="1" ref="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5" s="1" t="str" cm="1">
        <f t="array" aca="1" ref="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5" s="1" t="str" cm="1">
        <f t="array" aca="1" ref="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5" s="1" t="str" cm="1">
        <f t="array" aca="1" ref="F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5" s="1" t="str" cm="1">
        <f t="array" aca="1" ref="G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5" s="1" t="str" cm="1">
        <f t="array" aca="1" ref="H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5" s="1" t="str" cm="1">
        <f t="array" aca="1" ref="I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5" s="1" t="str" cm="1">
        <f t="array" aca="1" ref="J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5" s="1" t="str" cm="1">
        <f t="array" aca="1" ref="K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5" s="1" t="str" cm="1">
        <f t="array" aca="1" ref="L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5" s="1" t="str" cm="1">
        <f t="array" aca="1" ref="M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5" s="1" t="str" cm="1">
        <f t="array" aca="1" ref="N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5" s="1" t="str" cm="1">
        <f t="array" aca="1" ref="O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5" s="1" t="str" cm="1">
        <f t="array" aca="1" ref="P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5" s="1" t="str" cm="1">
        <f t="array" aca="1" ref="Q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5" s="1" t="str" cm="1">
        <f t="array" aca="1" ref="R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5" s="1" t="str" cm="1">
        <f t="array" aca="1" ref="S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5" s="1" t="str" cm="1">
        <f t="array" aca="1" ref="T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5" s="1" t="str" cm="1">
        <f t="array" aca="1" ref="U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5" s="1" t="str" cm="1">
        <f t="array" aca="1" ref="V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5" s="1" t="str" cm="1">
        <f t="array" aca="1" ref="W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5" s="1" t="str" cm="1">
        <f t="array" aca="1" ref="X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5" s="1" t="str" cm="1">
        <f t="array" aca="1" ref="Y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5" s="1" t="str" cm="1">
        <f t="array" aca="1" ref="Z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5" s="1" t="str" cm="1">
        <f t="array" aca="1" ref="AA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5" s="1" t="str" cm="1">
        <f t="array" aca="1" ref="AB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5" s="1" t="str" cm="1">
        <f t="array" aca="1" ref="AC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5" s="1" t="str" cm="1">
        <f t="array" aca="1" ref="AD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5" s="1" t="str" cm="1">
        <f t="array" aca="1" ref="AE1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6" spans="1:31">
      <c r="A126" s="1" t="str" cm="1">
        <f t="array" aca="1" ref="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6" s="1" t="str" cm="1">
        <f t="array" aca="1" ref="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6" s="1" t="str" cm="1">
        <f t="array" aca="1" ref="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6" s="1" t="str" cm="1">
        <f t="array" aca="1" ref="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6" s="1" t="str" cm="1">
        <f t="array" aca="1" ref="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6" s="1" t="str" cm="1">
        <f t="array" aca="1" ref="F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6" s="1" t="str" cm="1">
        <f t="array" aca="1" ref="G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6" s="1" t="str" cm="1">
        <f t="array" aca="1" ref="H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6" s="1" t="str" cm="1">
        <f t="array" aca="1" ref="I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6" s="1" t="str" cm="1">
        <f t="array" aca="1" ref="J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6" s="1" t="str" cm="1">
        <f t="array" aca="1" ref="K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6" s="1" t="str" cm="1">
        <f t="array" aca="1" ref="L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6" s="1" t="str" cm="1">
        <f t="array" aca="1" ref="M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6" s="1" t="str" cm="1">
        <f t="array" aca="1" ref="N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6" s="1" t="str" cm="1">
        <f t="array" aca="1" ref="O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6" s="1" t="str" cm="1">
        <f t="array" aca="1" ref="P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6" s="1" t="str" cm="1">
        <f t="array" aca="1" ref="Q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6" s="1" t="str" cm="1">
        <f t="array" aca="1" ref="R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6" s="1" t="str" cm="1">
        <f t="array" aca="1" ref="S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6" s="1" t="str" cm="1">
        <f t="array" aca="1" ref="T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6" s="1" t="str" cm="1">
        <f t="array" aca="1" ref="U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6" s="1" t="str" cm="1">
        <f t="array" aca="1" ref="V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6" s="1" t="str" cm="1">
        <f t="array" aca="1" ref="W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6" s="1" t="str" cm="1">
        <f t="array" aca="1" ref="X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6" s="1" t="str" cm="1">
        <f t="array" aca="1" ref="Y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6" s="1" t="str" cm="1">
        <f t="array" aca="1" ref="Z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6" s="1" t="str" cm="1">
        <f t="array" aca="1" ref="AA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6" s="1" t="str" cm="1">
        <f t="array" aca="1" ref="AB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6" s="1" t="str" cm="1">
        <f t="array" aca="1" ref="AC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6" s="1" t="str" cm="1">
        <f t="array" aca="1" ref="AD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6" s="1" t="str" cm="1">
        <f t="array" aca="1" ref="AE1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7" spans="1:31">
      <c r="A127" s="1" t="str" cm="1">
        <f t="array" aca="1" ref="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7" s="1" t="str" cm="1">
        <f t="array" aca="1" ref="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7" s="1" t="str" cm="1">
        <f t="array" aca="1" ref="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7" s="1" t="str" cm="1">
        <f t="array" aca="1" ref="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7" s="1" t="str" cm="1">
        <f t="array" aca="1" ref="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7" s="1" t="str" cm="1">
        <f t="array" aca="1" ref="F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7" s="1" t="str" cm="1">
        <f t="array" aca="1" ref="G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7" s="1" t="str" cm="1">
        <f t="array" aca="1" ref="H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7" s="1" t="str" cm="1">
        <f t="array" aca="1" ref="I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7" s="1" t="str" cm="1">
        <f t="array" aca="1" ref="J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7" s="1" t="str" cm="1">
        <f t="array" aca="1" ref="K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7" s="1" t="str" cm="1">
        <f t="array" aca="1" ref="L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7" s="1" t="str" cm="1">
        <f t="array" aca="1" ref="M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7" s="1" t="str" cm="1">
        <f t="array" aca="1" ref="N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7" s="1" t="str" cm="1">
        <f t="array" aca="1" ref="O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7" s="1" t="str" cm="1">
        <f t="array" aca="1" ref="P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7" s="1" t="str" cm="1">
        <f t="array" aca="1" ref="Q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7" s="1" t="str" cm="1">
        <f t="array" aca="1" ref="R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7" s="1" t="str" cm="1">
        <f t="array" aca="1" ref="S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7" s="1" t="str" cm="1">
        <f t="array" aca="1" ref="T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7" s="1" t="str" cm="1">
        <f t="array" aca="1" ref="U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7" s="1" t="str" cm="1">
        <f t="array" aca="1" ref="V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7" s="1" t="str" cm="1">
        <f t="array" aca="1" ref="W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7" s="1" t="str" cm="1">
        <f t="array" aca="1" ref="X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7" s="1" t="str" cm="1">
        <f t="array" aca="1" ref="Y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7" s="1" t="str" cm="1">
        <f t="array" aca="1" ref="Z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7" s="1" t="str" cm="1">
        <f t="array" aca="1" ref="AA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7" s="1" t="str" cm="1">
        <f t="array" aca="1" ref="AB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7" s="1" t="str" cm="1">
        <f t="array" aca="1" ref="AC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7" s="1" t="str" cm="1">
        <f t="array" aca="1" ref="AD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7" s="1" t="str" cm="1">
        <f t="array" aca="1" ref="AE1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8" spans="1:31">
      <c r="A128" s="1" t="str" cm="1">
        <f t="array" aca="1" ref="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8" s="1" t="str" cm="1">
        <f t="array" aca="1" ref="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8" s="1" t="str" cm="1">
        <f t="array" aca="1" ref="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8" s="1" t="str" cm="1">
        <f t="array" aca="1" ref="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8" s="1" t="str" cm="1">
        <f t="array" aca="1" ref="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8" s="1" t="str" cm="1">
        <f t="array" aca="1" ref="F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8" s="1" t="str" cm="1">
        <f t="array" aca="1" ref="G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8" s="1" t="str" cm="1">
        <f t="array" aca="1" ref="H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8" s="1" t="str" cm="1">
        <f t="array" aca="1" ref="I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8" s="1" t="str" cm="1">
        <f t="array" aca="1" ref="J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8" s="1" t="str" cm="1">
        <f t="array" aca="1" ref="K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8" s="1" t="str" cm="1">
        <f t="array" aca="1" ref="L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8" s="1" t="str" cm="1">
        <f t="array" aca="1" ref="M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8" s="1" t="str" cm="1">
        <f t="array" aca="1" ref="N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8" s="1" t="str" cm="1">
        <f t="array" aca="1" ref="O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8" s="1" t="str" cm="1">
        <f t="array" aca="1" ref="P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8" s="1" t="str" cm="1">
        <f t="array" aca="1" ref="Q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8" s="1" t="str" cm="1">
        <f t="array" aca="1" ref="R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8" s="1" t="str" cm="1">
        <f t="array" aca="1" ref="S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8" s="1" t="str" cm="1">
        <f t="array" aca="1" ref="T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8" s="1" t="str" cm="1">
        <f t="array" aca="1" ref="U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8" s="1" t="str" cm="1">
        <f t="array" aca="1" ref="V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8" s="1" t="str" cm="1">
        <f t="array" aca="1" ref="W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8" s="1" t="str" cm="1">
        <f t="array" aca="1" ref="X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8" s="1" t="str" cm="1">
        <f t="array" aca="1" ref="Y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8" s="1" t="str" cm="1">
        <f t="array" aca="1" ref="Z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8" s="1" t="str" cm="1">
        <f t="array" aca="1" ref="AA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8" s="1" t="str" cm="1">
        <f t="array" aca="1" ref="AB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8" s="1" t="str" cm="1">
        <f t="array" aca="1" ref="AC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8" s="1" t="str" cm="1">
        <f t="array" aca="1" ref="AD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8" s="1" t="str" cm="1">
        <f t="array" aca="1" ref="AE1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29" spans="1:31">
      <c r="A129" s="1" t="str" cm="1">
        <f t="array" aca="1" ref="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29" s="1" t="str" cm="1">
        <f t="array" aca="1" ref="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29" s="1" t="str" cm="1">
        <f t="array" aca="1" ref="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29" s="1" t="str" cm="1">
        <f t="array" aca="1" ref="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29" s="1" t="str" cm="1">
        <f t="array" aca="1" ref="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29" s="1" t="str" cm="1">
        <f t="array" aca="1" ref="F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29" s="1" t="str" cm="1">
        <f t="array" aca="1" ref="G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29" s="1" t="str" cm="1">
        <f t="array" aca="1" ref="H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29" s="1" t="str" cm="1">
        <f t="array" aca="1" ref="I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29" s="1" t="str" cm="1">
        <f t="array" aca="1" ref="J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29" s="1" t="str" cm="1">
        <f t="array" aca="1" ref="K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29" s="1" t="str" cm="1">
        <f t="array" aca="1" ref="L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29" s="1" t="str" cm="1">
        <f t="array" aca="1" ref="M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29" s="1" t="str" cm="1">
        <f t="array" aca="1" ref="N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29" s="1" t="str" cm="1">
        <f t="array" aca="1" ref="O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29" s="1" t="str" cm="1">
        <f t="array" aca="1" ref="P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29" s="1" t="str" cm="1">
        <f t="array" aca="1" ref="Q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29" s="1" t="str" cm="1">
        <f t="array" aca="1" ref="R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29" s="1" t="str" cm="1">
        <f t="array" aca="1" ref="S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29" s="1" t="str" cm="1">
        <f t="array" aca="1" ref="T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29" s="1" t="str" cm="1">
        <f t="array" aca="1" ref="U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29" s="1" t="str" cm="1">
        <f t="array" aca="1" ref="V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29" s="1" t="str" cm="1">
        <f t="array" aca="1" ref="W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29" s="1" t="str" cm="1">
        <f t="array" aca="1" ref="X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29" s="1" t="str" cm="1">
        <f t="array" aca="1" ref="Y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29" s="1" t="str" cm="1">
        <f t="array" aca="1" ref="Z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29" s="1" t="str" cm="1">
        <f t="array" aca="1" ref="AA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29" s="1" t="str" cm="1">
        <f t="array" aca="1" ref="AB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29" s="1" t="str" cm="1">
        <f t="array" aca="1" ref="AC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29" s="1" t="str" cm="1">
        <f t="array" aca="1" ref="AD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29" s="1" t="str" cm="1">
        <f t="array" aca="1" ref="AE1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0" spans="1:31">
      <c r="A130" s="1" t="str" cm="1">
        <f t="array" aca="1" ref="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0" s="1" t="str" cm="1">
        <f t="array" aca="1" ref="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0" s="1" t="str" cm="1">
        <f t="array" aca="1" ref="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0" s="1" t="str" cm="1">
        <f t="array" aca="1" ref="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0" s="1" t="str" cm="1">
        <f t="array" aca="1" ref="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0" s="1" t="str" cm="1">
        <f t="array" aca="1" ref="F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0" s="1" t="str" cm="1">
        <f t="array" aca="1" ref="G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0" s="1" t="str" cm="1">
        <f t="array" aca="1" ref="H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0" s="1" t="str" cm="1">
        <f t="array" aca="1" ref="I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0" s="1" t="str" cm="1">
        <f t="array" aca="1" ref="J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0" s="1" t="str" cm="1">
        <f t="array" aca="1" ref="K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0" s="1" t="str" cm="1">
        <f t="array" aca="1" ref="L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0" s="1" t="str" cm="1">
        <f t="array" aca="1" ref="M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0" s="1" t="str" cm="1">
        <f t="array" aca="1" ref="N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0" s="1" t="str" cm="1">
        <f t="array" aca="1" ref="O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0" s="1" t="str" cm="1">
        <f t="array" aca="1" ref="P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0" s="1" t="str" cm="1">
        <f t="array" aca="1" ref="Q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0" s="1" t="str" cm="1">
        <f t="array" aca="1" ref="R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0" s="1" t="str" cm="1">
        <f t="array" aca="1" ref="S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0" s="1" t="str" cm="1">
        <f t="array" aca="1" ref="T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0" s="1" t="str" cm="1">
        <f t="array" aca="1" ref="U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0" s="1" t="str" cm="1">
        <f t="array" aca="1" ref="V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0" s="1" t="str" cm="1">
        <f t="array" aca="1" ref="W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0" s="1" t="str" cm="1">
        <f t="array" aca="1" ref="X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0" s="1" t="str" cm="1">
        <f t="array" aca="1" ref="Y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0" s="1" t="str" cm="1">
        <f t="array" aca="1" ref="Z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0" s="1" t="str" cm="1">
        <f t="array" aca="1" ref="AA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0" s="1" t="str" cm="1">
        <f t="array" aca="1" ref="AB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0" s="1" t="str" cm="1">
        <f t="array" aca="1" ref="AC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0" s="1" t="str" cm="1">
        <f t="array" aca="1" ref="AD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0" s="1" t="str" cm="1">
        <f t="array" aca="1" ref="AE1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1" spans="1:31">
      <c r="A131" s="1" t="str" cm="1">
        <f t="array" aca="1" ref="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1" s="1" t="str" cm="1">
        <f t="array" aca="1" ref="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1" s="1" t="str" cm="1">
        <f t="array" aca="1" ref="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1" s="1" t="str" cm="1">
        <f t="array" aca="1" ref="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1" s="1" t="str" cm="1">
        <f t="array" aca="1" ref="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1" s="1" t="str" cm="1">
        <f t="array" aca="1" ref="F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1" s="1" t="str" cm="1">
        <f t="array" aca="1" ref="G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1" s="1" t="str" cm="1">
        <f t="array" aca="1" ref="H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1" s="1" t="str" cm="1">
        <f t="array" aca="1" ref="I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1" s="1" t="str" cm="1">
        <f t="array" aca="1" ref="J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1" s="1" t="str" cm="1">
        <f t="array" aca="1" ref="K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1" s="1" t="str" cm="1">
        <f t="array" aca="1" ref="L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1" s="1" t="str" cm="1">
        <f t="array" aca="1" ref="M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1" s="1" t="str" cm="1">
        <f t="array" aca="1" ref="N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1" s="1" t="str" cm="1">
        <f t="array" aca="1" ref="O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1" s="1" t="str" cm="1">
        <f t="array" aca="1" ref="P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1" s="1" t="str" cm="1">
        <f t="array" aca="1" ref="Q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1" s="1" t="str" cm="1">
        <f t="array" aca="1" ref="R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1" s="1" t="str" cm="1">
        <f t="array" aca="1" ref="S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1" s="1" t="str" cm="1">
        <f t="array" aca="1" ref="T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1" s="1" t="str" cm="1">
        <f t="array" aca="1" ref="U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1" s="1" t="str" cm="1">
        <f t="array" aca="1" ref="V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1" s="1" t="str" cm="1">
        <f t="array" aca="1" ref="W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1" s="1" t="str" cm="1">
        <f t="array" aca="1" ref="X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1" s="1" t="str" cm="1">
        <f t="array" aca="1" ref="Y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1" s="1" t="str" cm="1">
        <f t="array" aca="1" ref="Z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1" s="1" t="str" cm="1">
        <f t="array" aca="1" ref="AA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1" s="1" t="str" cm="1">
        <f t="array" aca="1" ref="AB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1" s="1" t="str" cm="1">
        <f t="array" aca="1" ref="AC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1" s="1" t="str" cm="1">
        <f t="array" aca="1" ref="AD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1" s="1" t="str" cm="1">
        <f t="array" aca="1" ref="AE1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2" spans="1:31">
      <c r="A132" s="1" t="str" cm="1">
        <f t="array" aca="1" ref="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2" s="1" t="str" cm="1">
        <f t="array" aca="1" ref="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2" s="1" t="str" cm="1">
        <f t="array" aca="1" ref="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2" s="1" t="str" cm="1">
        <f t="array" aca="1" ref="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2" s="1" t="str" cm="1">
        <f t="array" aca="1" ref="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2" s="1" t="str" cm="1">
        <f t="array" aca="1" ref="F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2" s="1" t="str" cm="1">
        <f t="array" aca="1" ref="G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2" s="1" t="str" cm="1">
        <f t="array" aca="1" ref="H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2" s="1" t="str" cm="1">
        <f t="array" aca="1" ref="I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2" s="1" t="str" cm="1">
        <f t="array" aca="1" ref="J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2" s="1" t="str" cm="1">
        <f t="array" aca="1" ref="K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2" s="1" t="str" cm="1">
        <f t="array" aca="1" ref="L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2" s="1" t="str" cm="1">
        <f t="array" aca="1" ref="M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2" s="1" t="str" cm="1">
        <f t="array" aca="1" ref="N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2" s="1" t="str" cm="1">
        <f t="array" aca="1" ref="O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2" s="1" t="str" cm="1">
        <f t="array" aca="1" ref="P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2" s="1" t="str" cm="1">
        <f t="array" aca="1" ref="Q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2" s="1" t="str" cm="1">
        <f t="array" aca="1" ref="R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2" s="1" t="str" cm="1">
        <f t="array" aca="1" ref="S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2" s="1" t="str" cm="1">
        <f t="array" aca="1" ref="T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2" s="1" t="str" cm="1">
        <f t="array" aca="1" ref="U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2" s="1" t="str" cm="1">
        <f t="array" aca="1" ref="V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2" s="1" t="str" cm="1">
        <f t="array" aca="1" ref="W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2" s="1" t="str" cm="1">
        <f t="array" aca="1" ref="X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2" s="1" t="str" cm="1">
        <f t="array" aca="1" ref="Y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2" s="1" t="str" cm="1">
        <f t="array" aca="1" ref="Z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2" s="1" t="str" cm="1">
        <f t="array" aca="1" ref="AA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2" s="1" t="str" cm="1">
        <f t="array" aca="1" ref="AB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2" s="1" t="str" cm="1">
        <f t="array" aca="1" ref="AC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2" s="1" t="str" cm="1">
        <f t="array" aca="1" ref="AD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2" s="1" t="str" cm="1">
        <f t="array" aca="1" ref="AE1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3" spans="1:31">
      <c r="A133" s="1" t="str" cm="1">
        <f t="array" aca="1" ref="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3" s="1" t="str" cm="1">
        <f t="array" aca="1" ref="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3" s="1" t="str" cm="1">
        <f t="array" aca="1" ref="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3" s="1" t="str" cm="1">
        <f t="array" aca="1" ref="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3" s="1" t="str" cm="1">
        <f t="array" aca="1" ref="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3" s="1" t="str" cm="1">
        <f t="array" aca="1" ref="F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3" s="1" t="str" cm="1">
        <f t="array" aca="1" ref="G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3" s="1" t="str" cm="1">
        <f t="array" aca="1" ref="H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3" s="1" t="str" cm="1">
        <f t="array" aca="1" ref="I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3" s="1" t="str" cm="1">
        <f t="array" aca="1" ref="J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3" s="1" t="str" cm="1">
        <f t="array" aca="1" ref="K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3" s="1" t="str" cm="1">
        <f t="array" aca="1" ref="L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3" s="1" t="str" cm="1">
        <f t="array" aca="1" ref="M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3" s="1" t="str" cm="1">
        <f t="array" aca="1" ref="N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3" s="1" t="str" cm="1">
        <f t="array" aca="1" ref="O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3" s="1" t="str" cm="1">
        <f t="array" aca="1" ref="P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3" s="1" t="str" cm="1">
        <f t="array" aca="1" ref="Q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3" s="1" t="str" cm="1">
        <f t="array" aca="1" ref="R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3" s="1" t="str" cm="1">
        <f t="array" aca="1" ref="S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3" s="1" t="str" cm="1">
        <f t="array" aca="1" ref="T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3" s="1" t="str" cm="1">
        <f t="array" aca="1" ref="U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3" s="1" t="str" cm="1">
        <f t="array" aca="1" ref="V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3" s="1" t="str" cm="1">
        <f t="array" aca="1" ref="W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3" s="1" t="str" cm="1">
        <f t="array" aca="1" ref="X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3" s="1" t="str" cm="1">
        <f t="array" aca="1" ref="Y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3" s="1" t="str" cm="1">
        <f t="array" aca="1" ref="Z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3" s="1" t="str" cm="1">
        <f t="array" aca="1" ref="AA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3" s="1" t="str" cm="1">
        <f t="array" aca="1" ref="AB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3" s="1" t="str" cm="1">
        <f t="array" aca="1" ref="AC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3" s="1" t="str" cm="1">
        <f t="array" aca="1" ref="AD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3" s="1" t="str" cm="1">
        <f t="array" aca="1" ref="AE1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4" spans="1:31">
      <c r="A134" s="1" t="str" cm="1">
        <f t="array" aca="1" ref="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4" s="1" t="str" cm="1">
        <f t="array" aca="1" ref="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4" s="1" t="str" cm="1">
        <f t="array" aca="1" ref="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4" s="1" t="str" cm="1">
        <f t="array" aca="1" ref="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4" s="1" t="str" cm="1">
        <f t="array" aca="1" ref="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4" s="1" t="str" cm="1">
        <f t="array" aca="1" ref="F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4" s="1" t="str" cm="1">
        <f t="array" aca="1" ref="G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4" s="1" t="str" cm="1">
        <f t="array" aca="1" ref="H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4" s="1" t="str" cm="1">
        <f t="array" aca="1" ref="I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4" s="1" t="str" cm="1">
        <f t="array" aca="1" ref="J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4" s="1" t="str" cm="1">
        <f t="array" aca="1" ref="K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4" s="1" t="str" cm="1">
        <f t="array" aca="1" ref="L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4" s="1" t="str" cm="1">
        <f t="array" aca="1" ref="M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4" s="1" t="str" cm="1">
        <f t="array" aca="1" ref="N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4" s="1" t="str" cm="1">
        <f t="array" aca="1" ref="O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4" s="1" t="str" cm="1">
        <f t="array" aca="1" ref="P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4" s="1" t="str" cm="1">
        <f t="array" aca="1" ref="Q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4" s="1" t="str" cm="1">
        <f t="array" aca="1" ref="R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4" s="1" t="str" cm="1">
        <f t="array" aca="1" ref="S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4" s="1" t="str" cm="1">
        <f t="array" aca="1" ref="T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4" s="1" t="str" cm="1">
        <f t="array" aca="1" ref="U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4" s="1" t="str" cm="1">
        <f t="array" aca="1" ref="V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4" s="1" t="str" cm="1">
        <f t="array" aca="1" ref="W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4" s="1" t="str" cm="1">
        <f t="array" aca="1" ref="X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4" s="1" t="str" cm="1">
        <f t="array" aca="1" ref="Y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4" s="1" t="str" cm="1">
        <f t="array" aca="1" ref="Z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4" s="1" t="str" cm="1">
        <f t="array" aca="1" ref="AA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4" s="1" t="str" cm="1">
        <f t="array" aca="1" ref="AB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4" s="1" t="str" cm="1">
        <f t="array" aca="1" ref="AC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4" s="1" t="str" cm="1">
        <f t="array" aca="1" ref="AD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4" s="1" t="str" cm="1">
        <f t="array" aca="1" ref="AE1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5" spans="1:31">
      <c r="A135" s="1" t="str" cm="1">
        <f t="array" aca="1" ref="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5" s="1" t="str" cm="1">
        <f t="array" aca="1" ref="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5" s="1" t="str" cm="1">
        <f t="array" aca="1" ref="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5" s="1" t="str" cm="1">
        <f t="array" aca="1" ref="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5" s="1" t="str" cm="1">
        <f t="array" aca="1" ref="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5" s="1" t="str" cm="1">
        <f t="array" aca="1" ref="F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5" s="1" t="str" cm="1">
        <f t="array" aca="1" ref="G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5" s="1" t="str" cm="1">
        <f t="array" aca="1" ref="H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5" s="1" t="str" cm="1">
        <f t="array" aca="1" ref="I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5" s="1" t="str" cm="1">
        <f t="array" aca="1" ref="J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5" s="1" t="str" cm="1">
        <f t="array" aca="1" ref="K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5" s="1" t="str" cm="1">
        <f t="array" aca="1" ref="L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5" s="1" t="str" cm="1">
        <f t="array" aca="1" ref="M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5" s="1" t="str" cm="1">
        <f t="array" aca="1" ref="N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5" s="1" t="str" cm="1">
        <f t="array" aca="1" ref="O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5" s="1" t="str" cm="1">
        <f t="array" aca="1" ref="P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5" s="1" t="str" cm="1">
        <f t="array" aca="1" ref="Q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5" s="1" t="str" cm="1">
        <f t="array" aca="1" ref="R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5" s="1" t="str" cm="1">
        <f t="array" aca="1" ref="S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5" s="1" t="str" cm="1">
        <f t="array" aca="1" ref="T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5" s="1" t="str" cm="1">
        <f t="array" aca="1" ref="U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5" s="1" t="str" cm="1">
        <f t="array" aca="1" ref="V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5" s="1" t="str" cm="1">
        <f t="array" aca="1" ref="W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5" s="1" t="str" cm="1">
        <f t="array" aca="1" ref="X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5" s="1" t="str" cm="1">
        <f t="array" aca="1" ref="Y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5" s="1" t="str" cm="1">
        <f t="array" aca="1" ref="Z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5" s="1" t="str" cm="1">
        <f t="array" aca="1" ref="AA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5" s="1" t="str" cm="1">
        <f t="array" aca="1" ref="AB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5" s="1" t="str" cm="1">
        <f t="array" aca="1" ref="AC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5" s="1" t="str" cm="1">
        <f t="array" aca="1" ref="AD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5" s="1" t="str" cm="1">
        <f t="array" aca="1" ref="AE1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6" spans="1:31">
      <c r="A136" s="1" t="str" cm="1">
        <f t="array" aca="1" ref="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6" s="1" t="str" cm="1">
        <f t="array" aca="1" ref="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6" s="1" t="str" cm="1">
        <f t="array" aca="1" ref="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6" s="1" t="str" cm="1">
        <f t="array" aca="1" ref="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6" s="1" t="str" cm="1">
        <f t="array" aca="1" ref="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6" s="1" t="str" cm="1">
        <f t="array" aca="1" ref="F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6" s="1" t="str" cm="1">
        <f t="array" aca="1" ref="G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6" s="1" t="str" cm="1">
        <f t="array" aca="1" ref="H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6" s="1" t="str" cm="1">
        <f t="array" aca="1" ref="I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6" s="1" t="str" cm="1">
        <f t="array" aca="1" ref="J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6" s="1" t="str" cm="1">
        <f t="array" aca="1" ref="K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6" s="1" t="str" cm="1">
        <f t="array" aca="1" ref="L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6" s="1" t="str" cm="1">
        <f t="array" aca="1" ref="M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6" s="1" t="str" cm="1">
        <f t="array" aca="1" ref="N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6" s="1" t="str" cm="1">
        <f t="array" aca="1" ref="O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6" s="1" t="str" cm="1">
        <f t="array" aca="1" ref="P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6" s="1" t="str" cm="1">
        <f t="array" aca="1" ref="Q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6" s="1" t="str" cm="1">
        <f t="array" aca="1" ref="R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6" s="1" t="str" cm="1">
        <f t="array" aca="1" ref="S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6" s="1" t="str" cm="1">
        <f t="array" aca="1" ref="T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6" s="1" t="str" cm="1">
        <f t="array" aca="1" ref="U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6" s="1" t="str" cm="1">
        <f t="array" aca="1" ref="V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6" s="1" t="str" cm="1">
        <f t="array" aca="1" ref="W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6" s="1" t="str" cm="1">
        <f t="array" aca="1" ref="X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6" s="1" t="str" cm="1">
        <f t="array" aca="1" ref="Y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6" s="1" t="str" cm="1">
        <f t="array" aca="1" ref="Z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6" s="1" t="str" cm="1">
        <f t="array" aca="1" ref="AA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6" s="1" t="str" cm="1">
        <f t="array" aca="1" ref="AB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6" s="1" t="str" cm="1">
        <f t="array" aca="1" ref="AC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6" s="1" t="str" cm="1">
        <f t="array" aca="1" ref="AD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6" s="1" t="str" cm="1">
        <f t="array" aca="1" ref="AE1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7" spans="1:31">
      <c r="A137" s="1" t="str" cm="1">
        <f t="array" aca="1" ref="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7" s="1" t="str" cm="1">
        <f t="array" aca="1" ref="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7" s="1" t="str" cm="1">
        <f t="array" aca="1" ref="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7" s="1" t="str" cm="1">
        <f t="array" aca="1" ref="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7" s="1" t="str" cm="1">
        <f t="array" aca="1" ref="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7" s="1" t="str" cm="1">
        <f t="array" aca="1" ref="F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7" s="1" t="str" cm="1">
        <f t="array" aca="1" ref="G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7" s="1" t="str" cm="1">
        <f t="array" aca="1" ref="H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7" s="1" t="str" cm="1">
        <f t="array" aca="1" ref="I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7" s="1" t="str" cm="1">
        <f t="array" aca="1" ref="J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7" s="1" t="str" cm="1">
        <f t="array" aca="1" ref="K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7" s="1" t="str" cm="1">
        <f t="array" aca="1" ref="L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7" s="1" t="str" cm="1">
        <f t="array" aca="1" ref="M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7" s="1" t="str" cm="1">
        <f t="array" aca="1" ref="N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7" s="1" t="str" cm="1">
        <f t="array" aca="1" ref="O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7" s="1" t="str" cm="1">
        <f t="array" aca="1" ref="P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7" s="1" t="str" cm="1">
        <f t="array" aca="1" ref="Q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7" s="1" t="str" cm="1">
        <f t="array" aca="1" ref="R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7" s="1" t="str" cm="1">
        <f t="array" aca="1" ref="S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7" s="1" t="str" cm="1">
        <f t="array" aca="1" ref="T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7" s="1" t="str" cm="1">
        <f t="array" aca="1" ref="U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7" s="1" t="str" cm="1">
        <f t="array" aca="1" ref="V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7" s="1" t="str" cm="1">
        <f t="array" aca="1" ref="W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7" s="1" t="str" cm="1">
        <f t="array" aca="1" ref="X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7" s="1" t="str" cm="1">
        <f t="array" aca="1" ref="Y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7" s="1" t="str" cm="1">
        <f t="array" aca="1" ref="Z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7" s="1" t="str" cm="1">
        <f t="array" aca="1" ref="AA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7" s="1" t="str" cm="1">
        <f t="array" aca="1" ref="AB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7" s="1" t="str" cm="1">
        <f t="array" aca="1" ref="AC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7" s="1" t="str" cm="1">
        <f t="array" aca="1" ref="AD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7" s="1" t="str" cm="1">
        <f t="array" aca="1" ref="AE1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8" spans="1:31">
      <c r="A138" s="1" t="str" cm="1">
        <f t="array" aca="1" ref="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8" s="1" t="str" cm="1">
        <f t="array" aca="1" ref="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8" s="1" t="str" cm="1">
        <f t="array" aca="1" ref="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8" s="1" t="str" cm="1">
        <f t="array" aca="1" ref="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8" s="1" t="str" cm="1">
        <f t="array" aca="1" ref="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8" s="1" t="str" cm="1">
        <f t="array" aca="1" ref="F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8" s="1" t="str" cm="1">
        <f t="array" aca="1" ref="G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8" s="1" t="str" cm="1">
        <f t="array" aca="1" ref="H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8" s="1" t="str" cm="1">
        <f t="array" aca="1" ref="I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8" s="1" t="str" cm="1">
        <f t="array" aca="1" ref="J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8" s="1" t="str" cm="1">
        <f t="array" aca="1" ref="K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8" s="1" t="str" cm="1">
        <f t="array" aca="1" ref="L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8" s="1" t="str" cm="1">
        <f t="array" aca="1" ref="M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8" s="1" t="str" cm="1">
        <f t="array" aca="1" ref="N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8" s="1" t="str" cm="1">
        <f t="array" aca="1" ref="O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8" s="1" t="str" cm="1">
        <f t="array" aca="1" ref="P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8" s="1" t="str" cm="1">
        <f t="array" aca="1" ref="Q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8" s="1" t="str" cm="1">
        <f t="array" aca="1" ref="R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8" s="1" t="str" cm="1">
        <f t="array" aca="1" ref="S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8" s="1" t="str" cm="1">
        <f t="array" aca="1" ref="T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8" s="1" t="str" cm="1">
        <f t="array" aca="1" ref="U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8" s="1" t="str" cm="1">
        <f t="array" aca="1" ref="V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8" s="1" t="str" cm="1">
        <f t="array" aca="1" ref="W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8" s="1" t="str" cm="1">
        <f t="array" aca="1" ref="X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8" s="1" t="str" cm="1">
        <f t="array" aca="1" ref="Y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8" s="1" t="str" cm="1">
        <f t="array" aca="1" ref="Z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8" s="1" t="str" cm="1">
        <f t="array" aca="1" ref="AA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8" s="1" t="str" cm="1">
        <f t="array" aca="1" ref="AB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8" s="1" t="str" cm="1">
        <f t="array" aca="1" ref="AC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8" s="1" t="str" cm="1">
        <f t="array" aca="1" ref="AD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8" s="1" t="str" cm="1">
        <f t="array" aca="1" ref="AE1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39" spans="1:31">
      <c r="A139" s="1" t="str" cm="1">
        <f t="array" aca="1" ref="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39" s="1" t="str" cm="1">
        <f t="array" aca="1" ref="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39" s="1" t="str" cm="1">
        <f t="array" aca="1" ref="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39" s="1" t="str" cm="1">
        <f t="array" aca="1" ref="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39" s="1" t="str" cm="1">
        <f t="array" aca="1" ref="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39" s="1" t="str" cm="1">
        <f t="array" aca="1" ref="F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39" s="1" t="str" cm="1">
        <f t="array" aca="1" ref="G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39" s="1" t="str" cm="1">
        <f t="array" aca="1" ref="H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39" s="1" t="str" cm="1">
        <f t="array" aca="1" ref="I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39" s="1" t="str" cm="1">
        <f t="array" aca="1" ref="J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39" s="1" t="str" cm="1">
        <f t="array" aca="1" ref="K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39" s="1" t="str" cm="1">
        <f t="array" aca="1" ref="L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39" s="1" t="str" cm="1">
        <f t="array" aca="1" ref="M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39" s="1" t="str" cm="1">
        <f t="array" aca="1" ref="N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39" s="1" t="str" cm="1">
        <f t="array" aca="1" ref="O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39" s="1" t="str" cm="1">
        <f t="array" aca="1" ref="P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39" s="1" t="str" cm="1">
        <f t="array" aca="1" ref="Q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39" s="1" t="str" cm="1">
        <f t="array" aca="1" ref="R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39" s="1" t="str" cm="1">
        <f t="array" aca="1" ref="S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39" s="1" t="str" cm="1">
        <f t="array" aca="1" ref="T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39" s="1" t="str" cm="1">
        <f t="array" aca="1" ref="U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39" s="1" t="str" cm="1">
        <f t="array" aca="1" ref="V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39" s="1" t="str" cm="1">
        <f t="array" aca="1" ref="W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39" s="1" t="str" cm="1">
        <f t="array" aca="1" ref="X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39" s="1" t="str" cm="1">
        <f t="array" aca="1" ref="Y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39" s="1" t="str" cm="1">
        <f t="array" aca="1" ref="Z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39" s="1" t="str" cm="1">
        <f t="array" aca="1" ref="AA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39" s="1" t="str" cm="1">
        <f t="array" aca="1" ref="AB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39" s="1" t="str" cm="1">
        <f t="array" aca="1" ref="AC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39" s="1" t="str" cm="1">
        <f t="array" aca="1" ref="AD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39" s="1" t="str" cm="1">
        <f t="array" aca="1" ref="AE1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0" spans="1:31">
      <c r="A140" s="1" t="str" cm="1">
        <f t="array" aca="1" ref="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0" s="1" t="str" cm="1">
        <f t="array" aca="1" ref="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0" s="1" t="str" cm="1">
        <f t="array" aca="1" ref="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0" s="1" t="str" cm="1">
        <f t="array" aca="1" ref="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0" s="1" t="str" cm="1">
        <f t="array" aca="1" ref="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0" s="1" t="str" cm="1">
        <f t="array" aca="1" ref="F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0" s="1" t="str" cm="1">
        <f t="array" aca="1" ref="G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0" s="1" t="str" cm="1">
        <f t="array" aca="1" ref="H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0" s="1" t="str" cm="1">
        <f t="array" aca="1" ref="I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0" s="1" t="str" cm="1">
        <f t="array" aca="1" ref="J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0" s="1" t="str" cm="1">
        <f t="array" aca="1" ref="K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0" s="1" t="str" cm="1">
        <f t="array" aca="1" ref="L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0" s="1" t="str" cm="1">
        <f t="array" aca="1" ref="M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0" s="1" t="str" cm="1">
        <f t="array" aca="1" ref="N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0" s="1" t="str" cm="1">
        <f t="array" aca="1" ref="O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0" s="1" t="str" cm="1">
        <f t="array" aca="1" ref="P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0" s="1" t="str" cm="1">
        <f t="array" aca="1" ref="Q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0" s="1" t="str" cm="1">
        <f t="array" aca="1" ref="R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0" s="1" t="str" cm="1">
        <f t="array" aca="1" ref="S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0" s="1" t="str" cm="1">
        <f t="array" aca="1" ref="T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0" s="1" t="str" cm="1">
        <f t="array" aca="1" ref="U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0" s="1" t="str" cm="1">
        <f t="array" aca="1" ref="V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0" s="1" t="str" cm="1">
        <f t="array" aca="1" ref="W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0" s="1" t="str" cm="1">
        <f t="array" aca="1" ref="X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0" s="1" t="str" cm="1">
        <f t="array" aca="1" ref="Y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0" s="1" t="str" cm="1">
        <f t="array" aca="1" ref="Z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0" s="1" t="str" cm="1">
        <f t="array" aca="1" ref="AA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0" s="1" t="str" cm="1">
        <f t="array" aca="1" ref="AB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0" s="1" t="str" cm="1">
        <f t="array" aca="1" ref="AC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0" s="1" t="str" cm="1">
        <f t="array" aca="1" ref="AD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0" s="1" t="str" cm="1">
        <f t="array" aca="1" ref="AE1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1" spans="1:31">
      <c r="A141" s="1" t="str" cm="1">
        <f t="array" aca="1" ref="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1" s="1" t="str" cm="1">
        <f t="array" aca="1" ref="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1" s="1" t="str" cm="1">
        <f t="array" aca="1" ref="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1" s="1" t="str" cm="1">
        <f t="array" aca="1" ref="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1" s="1" t="str" cm="1">
        <f t="array" aca="1" ref="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1" s="1" t="str" cm="1">
        <f t="array" aca="1" ref="F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1" s="1" t="str" cm="1">
        <f t="array" aca="1" ref="G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1" s="1" t="str" cm="1">
        <f t="array" aca="1" ref="H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1" s="1" t="str" cm="1">
        <f t="array" aca="1" ref="I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1" s="1" t="str" cm="1">
        <f t="array" aca="1" ref="J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1" s="1" t="str" cm="1">
        <f t="array" aca="1" ref="K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1" s="1" t="str" cm="1">
        <f t="array" aca="1" ref="L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1" s="1" t="str" cm="1">
        <f t="array" aca="1" ref="M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1" s="1" t="str" cm="1">
        <f t="array" aca="1" ref="N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1" s="1" t="str" cm="1">
        <f t="array" aca="1" ref="O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1" s="1" t="str" cm="1">
        <f t="array" aca="1" ref="P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1" s="1" t="str" cm="1">
        <f t="array" aca="1" ref="Q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1" s="1" t="str" cm="1">
        <f t="array" aca="1" ref="R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1" s="1" t="str" cm="1">
        <f t="array" aca="1" ref="S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1" s="1" t="str" cm="1">
        <f t="array" aca="1" ref="T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1" s="1" t="str" cm="1">
        <f t="array" aca="1" ref="U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1" s="1" t="str" cm="1">
        <f t="array" aca="1" ref="V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1" s="1" t="str" cm="1">
        <f t="array" aca="1" ref="W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1" s="1" t="str" cm="1">
        <f t="array" aca="1" ref="X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1" s="1" t="str" cm="1">
        <f t="array" aca="1" ref="Y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1" s="1" t="str" cm="1">
        <f t="array" aca="1" ref="Z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1" s="1" t="str" cm="1">
        <f t="array" aca="1" ref="AA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1" s="1" t="str" cm="1">
        <f t="array" aca="1" ref="AB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1" s="1" t="str" cm="1">
        <f t="array" aca="1" ref="AC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1" s="1" t="str" cm="1">
        <f t="array" aca="1" ref="AD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1" s="1" t="str" cm="1">
        <f t="array" aca="1" ref="AE1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2" spans="1:31">
      <c r="A142" s="1" t="str" cm="1">
        <f t="array" aca="1" ref="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2" s="1" t="str" cm="1">
        <f t="array" aca="1" ref="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2" s="1" t="str" cm="1">
        <f t="array" aca="1" ref="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2" s="1" t="str" cm="1">
        <f t="array" aca="1" ref="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2" s="1" t="str" cm="1">
        <f t="array" aca="1" ref="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2" s="1" t="str" cm="1">
        <f t="array" aca="1" ref="F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2" s="1" t="str" cm="1">
        <f t="array" aca="1" ref="G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2" s="1" t="str" cm="1">
        <f t="array" aca="1" ref="H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2" s="1" t="str" cm="1">
        <f t="array" aca="1" ref="I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2" s="1" t="str" cm="1">
        <f t="array" aca="1" ref="J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2" s="1" t="str" cm="1">
        <f t="array" aca="1" ref="K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2" s="1" t="str" cm="1">
        <f t="array" aca="1" ref="L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2" s="1" t="str" cm="1">
        <f t="array" aca="1" ref="M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2" s="1" t="str" cm="1">
        <f t="array" aca="1" ref="N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2" s="1" t="str" cm="1">
        <f t="array" aca="1" ref="O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2" s="1" t="str" cm="1">
        <f t="array" aca="1" ref="P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2" s="1" t="str" cm="1">
        <f t="array" aca="1" ref="Q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2" s="1" t="str" cm="1">
        <f t="array" aca="1" ref="R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2" s="1" t="str" cm="1">
        <f t="array" aca="1" ref="S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2" s="1" t="str" cm="1">
        <f t="array" aca="1" ref="T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2" s="1" t="str" cm="1">
        <f t="array" aca="1" ref="U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2" s="1" t="str" cm="1">
        <f t="array" aca="1" ref="V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2" s="1" t="str" cm="1">
        <f t="array" aca="1" ref="W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2" s="1" t="str" cm="1">
        <f t="array" aca="1" ref="X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2" s="1" t="str" cm="1">
        <f t="array" aca="1" ref="Y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2" s="1" t="str" cm="1">
        <f t="array" aca="1" ref="Z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2" s="1" t="str" cm="1">
        <f t="array" aca="1" ref="AA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2" s="1" t="str" cm="1">
        <f t="array" aca="1" ref="AB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2" s="1" t="str" cm="1">
        <f t="array" aca="1" ref="AC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2" s="1" t="str" cm="1">
        <f t="array" aca="1" ref="AD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2" s="1" t="str" cm="1">
        <f t="array" aca="1" ref="AE1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3" spans="1:31">
      <c r="A143" s="1" t="str" cm="1">
        <f t="array" aca="1" ref="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3" s="1" t="str" cm="1">
        <f t="array" aca="1" ref="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3" s="1" t="str" cm="1">
        <f t="array" aca="1" ref="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3" s="1" t="str" cm="1">
        <f t="array" aca="1" ref="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3" s="1" t="str" cm="1">
        <f t="array" aca="1" ref="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3" s="1" t="str" cm="1">
        <f t="array" aca="1" ref="F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3" s="1" t="str" cm="1">
        <f t="array" aca="1" ref="G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3" s="1" t="str" cm="1">
        <f t="array" aca="1" ref="H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3" s="1" t="str" cm="1">
        <f t="array" aca="1" ref="I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3" s="1" t="str" cm="1">
        <f t="array" aca="1" ref="J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3" s="1" t="str" cm="1">
        <f t="array" aca="1" ref="K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3" s="1" t="str" cm="1">
        <f t="array" aca="1" ref="L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3" s="1" t="str" cm="1">
        <f t="array" aca="1" ref="M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3" s="1" t="str" cm="1">
        <f t="array" aca="1" ref="N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3" s="1" t="str" cm="1">
        <f t="array" aca="1" ref="O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3" s="1" t="str" cm="1">
        <f t="array" aca="1" ref="P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3" s="1" t="str" cm="1">
        <f t="array" aca="1" ref="Q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3" s="1" t="str" cm="1">
        <f t="array" aca="1" ref="R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3" s="1" t="str" cm="1">
        <f t="array" aca="1" ref="S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3" s="1" t="str" cm="1">
        <f t="array" aca="1" ref="T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3" s="1" t="str" cm="1">
        <f t="array" aca="1" ref="U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3" s="1" t="str" cm="1">
        <f t="array" aca="1" ref="V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3" s="1" t="str" cm="1">
        <f t="array" aca="1" ref="W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3" s="1" t="str" cm="1">
        <f t="array" aca="1" ref="X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3" s="1" t="str" cm="1">
        <f t="array" aca="1" ref="Y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3" s="1" t="str" cm="1">
        <f t="array" aca="1" ref="Z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3" s="1" t="str" cm="1">
        <f t="array" aca="1" ref="AA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3" s="1" t="str" cm="1">
        <f t="array" aca="1" ref="AB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3" s="1" t="str" cm="1">
        <f t="array" aca="1" ref="AC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3" s="1" t="str" cm="1">
        <f t="array" aca="1" ref="AD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3" s="1" t="str" cm="1">
        <f t="array" aca="1" ref="AE1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4" spans="1:31">
      <c r="A144" s="1" t="str" cm="1">
        <f t="array" aca="1" ref="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4" s="1" t="str" cm="1">
        <f t="array" aca="1" ref="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4" s="1" t="str" cm="1">
        <f t="array" aca="1" ref="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4" s="1" t="str" cm="1">
        <f t="array" aca="1" ref="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4" s="1" t="str" cm="1">
        <f t="array" aca="1" ref="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4" s="1" t="str" cm="1">
        <f t="array" aca="1" ref="F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4" s="1" t="str" cm="1">
        <f t="array" aca="1" ref="G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4" s="1" t="str" cm="1">
        <f t="array" aca="1" ref="H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4" s="1" t="str" cm="1">
        <f t="array" aca="1" ref="I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4" s="1" t="str" cm="1">
        <f t="array" aca="1" ref="J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4" s="1" t="str" cm="1">
        <f t="array" aca="1" ref="K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4" s="1" t="str" cm="1">
        <f t="array" aca="1" ref="L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4" s="1" t="str" cm="1">
        <f t="array" aca="1" ref="M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4" s="1" t="str" cm="1">
        <f t="array" aca="1" ref="N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4" s="1" t="str" cm="1">
        <f t="array" aca="1" ref="O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4" s="1" t="str" cm="1">
        <f t="array" aca="1" ref="P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4" s="1" t="str" cm="1">
        <f t="array" aca="1" ref="Q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4" s="1" t="str" cm="1">
        <f t="array" aca="1" ref="R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4" s="1" t="str" cm="1">
        <f t="array" aca="1" ref="S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4" s="1" t="str" cm="1">
        <f t="array" aca="1" ref="T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4" s="1" t="str" cm="1">
        <f t="array" aca="1" ref="U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4" s="1" t="str" cm="1">
        <f t="array" aca="1" ref="V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4" s="1" t="str" cm="1">
        <f t="array" aca="1" ref="W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4" s="1" t="str" cm="1">
        <f t="array" aca="1" ref="X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4" s="1" t="str" cm="1">
        <f t="array" aca="1" ref="Y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4" s="1" t="str" cm="1">
        <f t="array" aca="1" ref="Z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4" s="1" t="str" cm="1">
        <f t="array" aca="1" ref="AA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4" s="1" t="str" cm="1">
        <f t="array" aca="1" ref="AB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4" s="1" t="str" cm="1">
        <f t="array" aca="1" ref="AC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4" s="1" t="str" cm="1">
        <f t="array" aca="1" ref="AD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4" s="1" t="str" cm="1">
        <f t="array" aca="1" ref="AE1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5" spans="1:31">
      <c r="A145" s="1" t="str" cm="1">
        <f t="array" aca="1" ref="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5" s="1" t="str" cm="1">
        <f t="array" aca="1" ref="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5" s="1" t="str" cm="1">
        <f t="array" aca="1" ref="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5" s="1" t="str" cm="1">
        <f t="array" aca="1" ref="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5" s="1" t="str" cm="1">
        <f t="array" aca="1" ref="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5" s="1" t="str" cm="1">
        <f t="array" aca="1" ref="F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5" s="1" t="str" cm="1">
        <f t="array" aca="1" ref="G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5" s="1" t="str" cm="1">
        <f t="array" aca="1" ref="H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5" s="1" t="str" cm="1">
        <f t="array" aca="1" ref="I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5" s="1" t="str" cm="1">
        <f t="array" aca="1" ref="J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5" s="1" t="str" cm="1">
        <f t="array" aca="1" ref="K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5" s="1" t="str" cm="1">
        <f t="array" aca="1" ref="L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5" s="1" t="str" cm="1">
        <f t="array" aca="1" ref="M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5" s="1" t="str" cm="1">
        <f t="array" aca="1" ref="N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5" s="1" t="str" cm="1">
        <f t="array" aca="1" ref="O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5" s="1" t="str" cm="1">
        <f t="array" aca="1" ref="P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5" s="1" t="str" cm="1">
        <f t="array" aca="1" ref="Q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5" s="1" t="str" cm="1">
        <f t="array" aca="1" ref="R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5" s="1" t="str" cm="1">
        <f t="array" aca="1" ref="S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5" s="1" t="str" cm="1">
        <f t="array" aca="1" ref="T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5" s="1" t="str" cm="1">
        <f t="array" aca="1" ref="U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5" s="1" t="str" cm="1">
        <f t="array" aca="1" ref="V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5" s="1" t="str" cm="1">
        <f t="array" aca="1" ref="W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5" s="1" t="str" cm="1">
        <f t="array" aca="1" ref="X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5" s="1" t="str" cm="1">
        <f t="array" aca="1" ref="Y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5" s="1" t="str" cm="1">
        <f t="array" aca="1" ref="Z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5" s="1" t="str" cm="1">
        <f t="array" aca="1" ref="AA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5" s="1" t="str" cm="1">
        <f t="array" aca="1" ref="AB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5" s="1" t="str" cm="1">
        <f t="array" aca="1" ref="AC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5" s="1" t="str" cm="1">
        <f t="array" aca="1" ref="AD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5" s="1" t="str" cm="1">
        <f t="array" aca="1" ref="AE1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6" spans="1:31">
      <c r="A146" s="1" t="str" cm="1">
        <f t="array" aca="1" ref="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6" s="1" t="str" cm="1">
        <f t="array" aca="1" ref="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6" s="1" t="str" cm="1">
        <f t="array" aca="1" ref="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6" s="1" t="str" cm="1">
        <f t="array" aca="1" ref="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6" s="1" t="str" cm="1">
        <f t="array" aca="1" ref="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6" s="1" t="str" cm="1">
        <f t="array" aca="1" ref="F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6" s="1" t="str" cm="1">
        <f t="array" aca="1" ref="G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6" s="1" t="str" cm="1">
        <f t="array" aca="1" ref="H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6" s="1" t="str" cm="1">
        <f t="array" aca="1" ref="I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6" s="1" t="str" cm="1">
        <f t="array" aca="1" ref="J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6" s="1" t="str" cm="1">
        <f t="array" aca="1" ref="K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6" s="1" t="str" cm="1">
        <f t="array" aca="1" ref="L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6" s="1" t="str" cm="1">
        <f t="array" aca="1" ref="M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6" s="1" t="str" cm="1">
        <f t="array" aca="1" ref="N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6" s="1" t="str" cm="1">
        <f t="array" aca="1" ref="O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6" s="1" t="str" cm="1">
        <f t="array" aca="1" ref="P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6" s="1" t="str" cm="1">
        <f t="array" aca="1" ref="Q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6" s="1" t="str" cm="1">
        <f t="array" aca="1" ref="R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6" s="1" t="str" cm="1">
        <f t="array" aca="1" ref="S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6" s="1" t="str" cm="1">
        <f t="array" aca="1" ref="T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6" s="1" t="str" cm="1">
        <f t="array" aca="1" ref="U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6" s="1" t="str" cm="1">
        <f t="array" aca="1" ref="V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6" s="1" t="str" cm="1">
        <f t="array" aca="1" ref="W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6" s="1" t="str" cm="1">
        <f t="array" aca="1" ref="X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6" s="1" t="str" cm="1">
        <f t="array" aca="1" ref="Y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6" s="1" t="str" cm="1">
        <f t="array" aca="1" ref="Z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6" s="1" t="str" cm="1">
        <f t="array" aca="1" ref="AA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6" s="1" t="str" cm="1">
        <f t="array" aca="1" ref="AB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6" s="1" t="str" cm="1">
        <f t="array" aca="1" ref="AC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6" s="1" t="str" cm="1">
        <f t="array" aca="1" ref="AD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6" s="1" t="str" cm="1">
        <f t="array" aca="1" ref="AE1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7" spans="1:31">
      <c r="A147" s="1" t="str" cm="1">
        <f t="array" aca="1" ref="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7" s="1" t="str" cm="1">
        <f t="array" aca="1" ref="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7" s="1" t="str" cm="1">
        <f t="array" aca="1" ref="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7" s="1" t="str" cm="1">
        <f t="array" aca="1" ref="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7" s="1" t="str" cm="1">
        <f t="array" aca="1" ref="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7" s="1" t="str" cm="1">
        <f t="array" aca="1" ref="F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7" s="1" t="str" cm="1">
        <f t="array" aca="1" ref="G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7" s="1" t="str" cm="1">
        <f t="array" aca="1" ref="H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7" s="1" t="str" cm="1">
        <f t="array" aca="1" ref="I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7" s="1" t="str" cm="1">
        <f t="array" aca="1" ref="J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7" s="1" t="str" cm="1">
        <f t="array" aca="1" ref="K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7" s="1" t="str" cm="1">
        <f t="array" aca="1" ref="L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7" s="1" t="str" cm="1">
        <f t="array" aca="1" ref="M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7" s="1" t="str" cm="1">
        <f t="array" aca="1" ref="N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7" s="1" t="str" cm="1">
        <f t="array" aca="1" ref="O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7" s="1" t="str" cm="1">
        <f t="array" aca="1" ref="P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7" s="1" t="str" cm="1">
        <f t="array" aca="1" ref="Q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7" s="1" t="str" cm="1">
        <f t="array" aca="1" ref="R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7" s="1" t="str" cm="1">
        <f t="array" aca="1" ref="S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7" s="1" t="str" cm="1">
        <f t="array" aca="1" ref="T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7" s="1" t="str" cm="1">
        <f t="array" aca="1" ref="U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7" s="1" t="str" cm="1">
        <f t="array" aca="1" ref="V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7" s="1" t="str" cm="1">
        <f t="array" aca="1" ref="W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7" s="1" t="str" cm="1">
        <f t="array" aca="1" ref="X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7" s="1" t="str" cm="1">
        <f t="array" aca="1" ref="Y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7" s="1" t="str" cm="1">
        <f t="array" aca="1" ref="Z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7" s="1" t="str" cm="1">
        <f t="array" aca="1" ref="AA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7" s="1" t="str" cm="1">
        <f t="array" aca="1" ref="AB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7" s="1" t="str" cm="1">
        <f t="array" aca="1" ref="AC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7" s="1" t="str" cm="1">
        <f t="array" aca="1" ref="AD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7" s="1" t="str" cm="1">
        <f t="array" aca="1" ref="AE1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8" spans="1:31">
      <c r="A148" s="1" t="str" cm="1">
        <f t="array" aca="1" ref="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8" s="1" t="str" cm="1">
        <f t="array" aca="1" ref="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8" s="1" t="str" cm="1">
        <f t="array" aca="1" ref="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8" s="1" t="str" cm="1">
        <f t="array" aca="1" ref="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8" s="1" t="str" cm="1">
        <f t="array" aca="1" ref="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8" s="1" t="str" cm="1">
        <f t="array" aca="1" ref="F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8" s="1" t="str" cm="1">
        <f t="array" aca="1" ref="G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8" s="1" t="str" cm="1">
        <f t="array" aca="1" ref="H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8" s="1" t="str" cm="1">
        <f t="array" aca="1" ref="I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8" s="1" t="str" cm="1">
        <f t="array" aca="1" ref="J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8" s="1" t="str" cm="1">
        <f t="array" aca="1" ref="K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8" s="1" t="str" cm="1">
        <f t="array" aca="1" ref="L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8" s="1" t="str" cm="1">
        <f t="array" aca="1" ref="M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8" s="1" t="str" cm="1">
        <f t="array" aca="1" ref="N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8" s="1" t="str" cm="1">
        <f t="array" aca="1" ref="O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8" s="1" t="str" cm="1">
        <f t="array" aca="1" ref="P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8" s="1" t="str" cm="1">
        <f t="array" aca="1" ref="Q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8" s="1" t="str" cm="1">
        <f t="array" aca="1" ref="R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8" s="1" t="str" cm="1">
        <f t="array" aca="1" ref="S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8" s="1" t="str" cm="1">
        <f t="array" aca="1" ref="T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8" s="1" t="str" cm="1">
        <f t="array" aca="1" ref="U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8" s="1" t="str" cm="1">
        <f t="array" aca="1" ref="V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8" s="1" t="str" cm="1">
        <f t="array" aca="1" ref="W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8" s="1" t="str" cm="1">
        <f t="array" aca="1" ref="X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8" s="1" t="str" cm="1">
        <f t="array" aca="1" ref="Y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8" s="1" t="str" cm="1">
        <f t="array" aca="1" ref="Z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8" s="1" t="str" cm="1">
        <f t="array" aca="1" ref="AA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8" s="1" t="str" cm="1">
        <f t="array" aca="1" ref="AB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8" s="1" t="str" cm="1">
        <f t="array" aca="1" ref="AC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8" s="1" t="str" cm="1">
        <f t="array" aca="1" ref="AD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8" s="1" t="str" cm="1">
        <f t="array" aca="1" ref="AE1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49" spans="1:31">
      <c r="A149" s="1" t="str" cm="1">
        <f t="array" aca="1" ref="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49" s="1" t="str" cm="1">
        <f t="array" aca="1" ref="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49" s="1" t="str" cm="1">
        <f t="array" aca="1" ref="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49" s="1" t="str" cm="1">
        <f t="array" aca="1" ref="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49" s="1" t="str" cm="1">
        <f t="array" aca="1" ref="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49" s="1" t="str" cm="1">
        <f t="array" aca="1" ref="F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49" s="1" t="str" cm="1">
        <f t="array" aca="1" ref="G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49" s="1" t="str" cm="1">
        <f t="array" aca="1" ref="H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49" s="1" t="str" cm="1">
        <f t="array" aca="1" ref="I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49" s="1" t="str" cm="1">
        <f t="array" aca="1" ref="J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49" s="1" t="str" cm="1">
        <f t="array" aca="1" ref="K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49" s="1" t="str" cm="1">
        <f t="array" aca="1" ref="L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49" s="1" t="str" cm="1">
        <f t="array" aca="1" ref="M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49" s="1" t="str" cm="1">
        <f t="array" aca="1" ref="N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49" s="1" t="str" cm="1">
        <f t="array" aca="1" ref="O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49" s="1" t="str" cm="1">
        <f t="array" aca="1" ref="P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49" s="1" t="str" cm="1">
        <f t="array" aca="1" ref="Q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49" s="1" t="str" cm="1">
        <f t="array" aca="1" ref="R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49" s="1" t="str" cm="1">
        <f t="array" aca="1" ref="S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49" s="1" t="str" cm="1">
        <f t="array" aca="1" ref="T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49" s="1" t="str" cm="1">
        <f t="array" aca="1" ref="U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49" s="1" t="str" cm="1">
        <f t="array" aca="1" ref="V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49" s="1" t="str" cm="1">
        <f t="array" aca="1" ref="W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49" s="1" t="str" cm="1">
        <f t="array" aca="1" ref="X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49" s="1" t="str" cm="1">
        <f t="array" aca="1" ref="Y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49" s="1" t="str" cm="1">
        <f t="array" aca="1" ref="Z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49" s="1" t="str" cm="1">
        <f t="array" aca="1" ref="AA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49" s="1" t="str" cm="1">
        <f t="array" aca="1" ref="AB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49" s="1" t="str" cm="1">
        <f t="array" aca="1" ref="AC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49" s="1" t="str" cm="1">
        <f t="array" aca="1" ref="AD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49" s="1" t="str" cm="1">
        <f t="array" aca="1" ref="AE1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0" spans="1:31">
      <c r="A150" s="1" t="str" cm="1">
        <f t="array" aca="1" ref="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0" s="1" t="str" cm="1">
        <f t="array" aca="1" ref="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0" s="1" t="str" cm="1">
        <f t="array" aca="1" ref="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0" s="1" t="str" cm="1">
        <f t="array" aca="1" ref="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0" s="1" t="str" cm="1">
        <f t="array" aca="1" ref="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0" s="1" t="str" cm="1">
        <f t="array" aca="1" ref="F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0" s="1" t="str" cm="1">
        <f t="array" aca="1" ref="G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0" s="1" t="str" cm="1">
        <f t="array" aca="1" ref="H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0" s="1" t="str" cm="1">
        <f t="array" aca="1" ref="I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0" s="1" t="str" cm="1">
        <f t="array" aca="1" ref="J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0" s="1" t="str" cm="1">
        <f t="array" aca="1" ref="K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0" s="1" t="str" cm="1">
        <f t="array" aca="1" ref="L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0" s="1" t="str" cm="1">
        <f t="array" aca="1" ref="M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0" s="1" t="str" cm="1">
        <f t="array" aca="1" ref="N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0" s="1" t="str" cm="1">
        <f t="array" aca="1" ref="O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0" s="1" t="str" cm="1">
        <f t="array" aca="1" ref="P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0" s="1" t="str" cm="1">
        <f t="array" aca="1" ref="Q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0" s="1" t="str" cm="1">
        <f t="array" aca="1" ref="R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0" s="1" t="str" cm="1">
        <f t="array" aca="1" ref="S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0" s="1" t="str" cm="1">
        <f t="array" aca="1" ref="T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0" s="1" t="str" cm="1">
        <f t="array" aca="1" ref="U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0" s="1" t="str" cm="1">
        <f t="array" aca="1" ref="V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0" s="1" t="str" cm="1">
        <f t="array" aca="1" ref="W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0" s="1" t="str" cm="1">
        <f t="array" aca="1" ref="X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0" s="1" t="str" cm="1">
        <f t="array" aca="1" ref="Y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0" s="1" t="str" cm="1">
        <f t="array" aca="1" ref="Z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0" s="1" t="str" cm="1">
        <f t="array" aca="1" ref="AA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0" s="1" t="str" cm="1">
        <f t="array" aca="1" ref="AB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0" s="1" t="str" cm="1">
        <f t="array" aca="1" ref="AC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0" s="1" t="str" cm="1">
        <f t="array" aca="1" ref="AD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0" s="1" t="str" cm="1">
        <f t="array" aca="1" ref="AE1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1" spans="1:31">
      <c r="A151" s="1" t="str" cm="1">
        <f t="array" aca="1" ref="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1" s="1" t="str" cm="1">
        <f t="array" aca="1" ref="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1" s="1" t="str" cm="1">
        <f t="array" aca="1" ref="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1" s="1" t="str" cm="1">
        <f t="array" aca="1" ref="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1" s="1" t="str" cm="1">
        <f t="array" aca="1" ref="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1" s="1" t="str" cm="1">
        <f t="array" aca="1" ref="F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1" s="1" t="str" cm="1">
        <f t="array" aca="1" ref="G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1" s="1" t="str" cm="1">
        <f t="array" aca="1" ref="H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1" s="1" t="str" cm="1">
        <f t="array" aca="1" ref="I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1" s="1" t="str" cm="1">
        <f t="array" aca="1" ref="J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1" s="1" t="str" cm="1">
        <f t="array" aca="1" ref="K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1" s="1" t="str" cm="1">
        <f t="array" aca="1" ref="L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1" s="1" t="str" cm="1">
        <f t="array" aca="1" ref="M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1" s="1" t="str" cm="1">
        <f t="array" aca="1" ref="N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1" s="1" t="str" cm="1">
        <f t="array" aca="1" ref="O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1" s="1" t="str" cm="1">
        <f t="array" aca="1" ref="P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1" s="1" t="str" cm="1">
        <f t="array" aca="1" ref="Q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1" s="1" t="str" cm="1">
        <f t="array" aca="1" ref="R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1" s="1" t="str" cm="1">
        <f t="array" aca="1" ref="S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1" s="1" t="str" cm="1">
        <f t="array" aca="1" ref="T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1" s="1" t="str" cm="1">
        <f t="array" aca="1" ref="U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1" s="1" t="str" cm="1">
        <f t="array" aca="1" ref="V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1" s="1" t="str" cm="1">
        <f t="array" aca="1" ref="W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1" s="1" t="str" cm="1">
        <f t="array" aca="1" ref="X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1" s="1" t="str" cm="1">
        <f t="array" aca="1" ref="Y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1" s="1" t="str" cm="1">
        <f t="array" aca="1" ref="Z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1" s="1" t="str" cm="1">
        <f t="array" aca="1" ref="AA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1" s="1" t="str" cm="1">
        <f t="array" aca="1" ref="AB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1" s="1" t="str" cm="1">
        <f t="array" aca="1" ref="AC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1" s="1" t="str" cm="1">
        <f t="array" aca="1" ref="AD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1" s="1" t="str" cm="1">
        <f t="array" aca="1" ref="AE1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2" spans="1:31">
      <c r="A152" s="1" t="str" cm="1">
        <f t="array" aca="1" ref="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2" s="1" t="str" cm="1">
        <f t="array" aca="1" ref="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2" s="1" t="str" cm="1">
        <f t="array" aca="1" ref="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2" s="1" t="str" cm="1">
        <f t="array" aca="1" ref="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2" s="1" t="str" cm="1">
        <f t="array" aca="1" ref="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2" s="1" t="str" cm="1">
        <f t="array" aca="1" ref="F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2" s="1" t="str" cm="1">
        <f t="array" aca="1" ref="G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2" s="1" t="str" cm="1">
        <f t="array" aca="1" ref="H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2" s="1" t="str" cm="1">
        <f t="array" aca="1" ref="I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2" s="1" t="str" cm="1">
        <f t="array" aca="1" ref="J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2" s="1" t="str" cm="1">
        <f t="array" aca="1" ref="K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2" s="1" t="str" cm="1">
        <f t="array" aca="1" ref="L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2" s="1" t="str" cm="1">
        <f t="array" aca="1" ref="M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2" s="1" t="str" cm="1">
        <f t="array" aca="1" ref="N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2" s="1" t="str" cm="1">
        <f t="array" aca="1" ref="O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2" s="1" t="str" cm="1">
        <f t="array" aca="1" ref="P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2" s="1" t="str" cm="1">
        <f t="array" aca="1" ref="Q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2" s="1" t="str" cm="1">
        <f t="array" aca="1" ref="R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2" s="1" t="str" cm="1">
        <f t="array" aca="1" ref="S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2" s="1" t="str" cm="1">
        <f t="array" aca="1" ref="T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2" s="1" t="str" cm="1">
        <f t="array" aca="1" ref="U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2" s="1" t="str" cm="1">
        <f t="array" aca="1" ref="V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2" s="1" t="str" cm="1">
        <f t="array" aca="1" ref="W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2" s="1" t="str" cm="1">
        <f t="array" aca="1" ref="X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2" s="1" t="str" cm="1">
        <f t="array" aca="1" ref="Y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2" s="1" t="str" cm="1">
        <f t="array" aca="1" ref="Z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2" s="1" t="str" cm="1">
        <f t="array" aca="1" ref="AA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2" s="1" t="str" cm="1">
        <f t="array" aca="1" ref="AB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2" s="1" t="str" cm="1">
        <f t="array" aca="1" ref="AC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2" s="1" t="str" cm="1">
        <f t="array" aca="1" ref="AD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2" s="1" t="str" cm="1">
        <f t="array" aca="1" ref="AE1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3" spans="1:31">
      <c r="A153" s="1" t="str" cm="1">
        <f t="array" aca="1" ref="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3" s="1" t="str" cm="1">
        <f t="array" aca="1" ref="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3" s="1" t="str" cm="1">
        <f t="array" aca="1" ref="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3" s="1" t="str" cm="1">
        <f t="array" aca="1" ref="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3" s="1" t="str" cm="1">
        <f t="array" aca="1" ref="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3" s="1" t="str" cm="1">
        <f t="array" aca="1" ref="F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3" s="1" t="str" cm="1">
        <f t="array" aca="1" ref="G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3" s="1" t="str" cm="1">
        <f t="array" aca="1" ref="H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3" s="1" t="str" cm="1">
        <f t="array" aca="1" ref="I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3" s="1" t="str" cm="1">
        <f t="array" aca="1" ref="J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3" s="1" t="str" cm="1">
        <f t="array" aca="1" ref="K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3" s="1" t="str" cm="1">
        <f t="array" aca="1" ref="L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3" s="1" t="str" cm="1">
        <f t="array" aca="1" ref="M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3" s="1" t="str" cm="1">
        <f t="array" aca="1" ref="N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3" s="1" t="str" cm="1">
        <f t="array" aca="1" ref="O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3" s="1" t="str" cm="1">
        <f t="array" aca="1" ref="P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3" s="1" t="str" cm="1">
        <f t="array" aca="1" ref="Q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3" s="1" t="str" cm="1">
        <f t="array" aca="1" ref="R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3" s="1" t="str" cm="1">
        <f t="array" aca="1" ref="S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3" s="1" t="str" cm="1">
        <f t="array" aca="1" ref="T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3" s="1" t="str" cm="1">
        <f t="array" aca="1" ref="U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3" s="1" t="str" cm="1">
        <f t="array" aca="1" ref="V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3" s="1" t="str" cm="1">
        <f t="array" aca="1" ref="W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3" s="1" t="str" cm="1">
        <f t="array" aca="1" ref="X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3" s="1" t="str" cm="1">
        <f t="array" aca="1" ref="Y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3" s="1" t="str" cm="1">
        <f t="array" aca="1" ref="Z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3" s="1" t="str" cm="1">
        <f t="array" aca="1" ref="AA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3" s="1" t="str" cm="1">
        <f t="array" aca="1" ref="AB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3" s="1" t="str" cm="1">
        <f t="array" aca="1" ref="AC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3" s="1" t="str" cm="1">
        <f t="array" aca="1" ref="AD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3" s="1" t="str" cm="1">
        <f t="array" aca="1" ref="AE1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4" spans="1:31">
      <c r="A154" s="1" t="str" cm="1">
        <f t="array" aca="1" ref="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4" s="1" t="str" cm="1">
        <f t="array" aca="1" ref="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4" s="1" t="str" cm="1">
        <f t="array" aca="1" ref="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4" s="1" t="str" cm="1">
        <f t="array" aca="1" ref="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4" s="1" t="str" cm="1">
        <f t="array" aca="1" ref="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4" s="1" t="str" cm="1">
        <f t="array" aca="1" ref="F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4" s="1" t="str" cm="1">
        <f t="array" aca="1" ref="G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4" s="1" t="str" cm="1">
        <f t="array" aca="1" ref="H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4" s="1" t="str" cm="1">
        <f t="array" aca="1" ref="I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4" s="1" t="str" cm="1">
        <f t="array" aca="1" ref="J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4" s="1" t="str" cm="1">
        <f t="array" aca="1" ref="K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4" s="1" t="str" cm="1">
        <f t="array" aca="1" ref="L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4" s="1" t="str" cm="1">
        <f t="array" aca="1" ref="M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4" s="1" t="str" cm="1">
        <f t="array" aca="1" ref="N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4" s="1" t="str" cm="1">
        <f t="array" aca="1" ref="O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4" s="1" t="str" cm="1">
        <f t="array" aca="1" ref="P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4" s="1" t="str" cm="1">
        <f t="array" aca="1" ref="Q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4" s="1" t="str" cm="1">
        <f t="array" aca="1" ref="R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4" s="1" t="str" cm="1">
        <f t="array" aca="1" ref="S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4" s="1" t="str" cm="1">
        <f t="array" aca="1" ref="T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4" s="1" t="str" cm="1">
        <f t="array" aca="1" ref="U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4" s="1" t="str" cm="1">
        <f t="array" aca="1" ref="V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4" s="1" t="str" cm="1">
        <f t="array" aca="1" ref="W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4" s="1" t="str" cm="1">
        <f t="array" aca="1" ref="X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4" s="1" t="str" cm="1">
        <f t="array" aca="1" ref="Y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4" s="1" t="str" cm="1">
        <f t="array" aca="1" ref="Z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4" s="1" t="str" cm="1">
        <f t="array" aca="1" ref="AA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4" s="1" t="str" cm="1">
        <f t="array" aca="1" ref="AB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4" s="1" t="str" cm="1">
        <f t="array" aca="1" ref="AC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4" s="1" t="str" cm="1">
        <f t="array" aca="1" ref="AD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4" s="1" t="str" cm="1">
        <f t="array" aca="1" ref="AE1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5" spans="1:31">
      <c r="A155" s="1" t="str" cm="1">
        <f t="array" aca="1" ref="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5" s="1" t="str" cm="1">
        <f t="array" aca="1" ref="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5" s="1" t="str" cm="1">
        <f t="array" aca="1" ref="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5" s="1" t="str" cm="1">
        <f t="array" aca="1" ref="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5" s="1" t="str" cm="1">
        <f t="array" aca="1" ref="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5" s="1" t="str" cm="1">
        <f t="array" aca="1" ref="F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5" s="1" t="str" cm="1">
        <f t="array" aca="1" ref="G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5" s="1" t="str" cm="1">
        <f t="array" aca="1" ref="H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5" s="1" t="str" cm="1">
        <f t="array" aca="1" ref="I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5" s="1" t="str" cm="1">
        <f t="array" aca="1" ref="J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5" s="1" t="str" cm="1">
        <f t="array" aca="1" ref="K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5" s="1" t="str" cm="1">
        <f t="array" aca="1" ref="L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5" s="1" t="str" cm="1">
        <f t="array" aca="1" ref="M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5" s="1" t="str" cm="1">
        <f t="array" aca="1" ref="N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5" s="1" t="str" cm="1">
        <f t="array" aca="1" ref="O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5" s="1" t="str" cm="1">
        <f t="array" aca="1" ref="P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5" s="1" t="str" cm="1">
        <f t="array" aca="1" ref="Q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5" s="1" t="str" cm="1">
        <f t="array" aca="1" ref="R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5" s="1" t="str" cm="1">
        <f t="array" aca="1" ref="S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5" s="1" t="str" cm="1">
        <f t="array" aca="1" ref="T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5" s="1" t="str" cm="1">
        <f t="array" aca="1" ref="U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5" s="1" t="str" cm="1">
        <f t="array" aca="1" ref="V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5" s="1" t="str" cm="1">
        <f t="array" aca="1" ref="W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5" s="1" t="str" cm="1">
        <f t="array" aca="1" ref="X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5" s="1" t="str" cm="1">
        <f t="array" aca="1" ref="Y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5" s="1" t="str" cm="1">
        <f t="array" aca="1" ref="Z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5" s="1" t="str" cm="1">
        <f t="array" aca="1" ref="AA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5" s="1" t="str" cm="1">
        <f t="array" aca="1" ref="AB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5" s="1" t="str" cm="1">
        <f t="array" aca="1" ref="AC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5" s="1" t="str" cm="1">
        <f t="array" aca="1" ref="AD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5" s="1" t="str" cm="1">
        <f t="array" aca="1" ref="AE1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6" spans="1:31">
      <c r="A156" s="1" t="str" cm="1">
        <f t="array" aca="1" ref="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6" s="1" t="str" cm="1">
        <f t="array" aca="1" ref="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6" s="1" t="str" cm="1">
        <f t="array" aca="1" ref="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6" s="1" t="str" cm="1">
        <f t="array" aca="1" ref="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6" s="1" t="str" cm="1">
        <f t="array" aca="1" ref="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6" s="1" t="str" cm="1">
        <f t="array" aca="1" ref="F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6" s="1" t="str" cm="1">
        <f t="array" aca="1" ref="G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6" s="1" t="str" cm="1">
        <f t="array" aca="1" ref="H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6" s="1" t="str" cm="1">
        <f t="array" aca="1" ref="I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6" s="1" t="str" cm="1">
        <f t="array" aca="1" ref="J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6" s="1" t="str" cm="1">
        <f t="array" aca="1" ref="K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6" s="1" t="str" cm="1">
        <f t="array" aca="1" ref="L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6" s="1" t="str" cm="1">
        <f t="array" aca="1" ref="M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6" s="1" t="str" cm="1">
        <f t="array" aca="1" ref="N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6" s="1" t="str" cm="1">
        <f t="array" aca="1" ref="O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6" s="1" t="str" cm="1">
        <f t="array" aca="1" ref="P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6" s="1" t="str" cm="1">
        <f t="array" aca="1" ref="Q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6" s="1" t="str" cm="1">
        <f t="array" aca="1" ref="R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6" s="1" t="str" cm="1">
        <f t="array" aca="1" ref="S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6" s="1" t="str" cm="1">
        <f t="array" aca="1" ref="T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6" s="1" t="str" cm="1">
        <f t="array" aca="1" ref="U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6" s="1" t="str" cm="1">
        <f t="array" aca="1" ref="V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6" s="1" t="str" cm="1">
        <f t="array" aca="1" ref="W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6" s="1" t="str" cm="1">
        <f t="array" aca="1" ref="X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6" s="1" t="str" cm="1">
        <f t="array" aca="1" ref="Y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6" s="1" t="str" cm="1">
        <f t="array" aca="1" ref="Z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6" s="1" t="str" cm="1">
        <f t="array" aca="1" ref="AA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6" s="1" t="str" cm="1">
        <f t="array" aca="1" ref="AB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6" s="1" t="str" cm="1">
        <f t="array" aca="1" ref="AC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6" s="1" t="str" cm="1">
        <f t="array" aca="1" ref="AD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6" s="1" t="str" cm="1">
        <f t="array" aca="1" ref="AE15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7" spans="1:31">
      <c r="A157" s="1" t="str" cm="1">
        <f t="array" aca="1" ref="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7" s="1" t="str" cm="1">
        <f t="array" aca="1" ref="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7" s="1" t="str" cm="1">
        <f t="array" aca="1" ref="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7" s="1" t="str" cm="1">
        <f t="array" aca="1" ref="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7" s="1" t="str" cm="1">
        <f t="array" aca="1" ref="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7" s="1" t="str" cm="1">
        <f t="array" aca="1" ref="F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7" s="1" t="str" cm="1">
        <f t="array" aca="1" ref="G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7" s="1" t="str" cm="1">
        <f t="array" aca="1" ref="H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7" s="1" t="str" cm="1">
        <f t="array" aca="1" ref="I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7" s="1" t="str" cm="1">
        <f t="array" aca="1" ref="J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7" s="1" t="str" cm="1">
        <f t="array" aca="1" ref="K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7" s="1" t="str" cm="1">
        <f t="array" aca="1" ref="L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7" s="1" t="str" cm="1">
        <f t="array" aca="1" ref="M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7" s="1" t="str" cm="1">
        <f t="array" aca="1" ref="N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7" s="1" t="str" cm="1">
        <f t="array" aca="1" ref="O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7" s="1" t="str" cm="1">
        <f t="array" aca="1" ref="P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7" s="1" t="str" cm="1">
        <f t="array" aca="1" ref="Q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7" s="1" t="str" cm="1">
        <f t="array" aca="1" ref="R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7" s="1" t="str" cm="1">
        <f t="array" aca="1" ref="S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7" s="1" t="str" cm="1">
        <f t="array" aca="1" ref="T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7" s="1" t="str" cm="1">
        <f t="array" aca="1" ref="U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7" s="1" t="str" cm="1">
        <f t="array" aca="1" ref="V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7" s="1" t="str" cm="1">
        <f t="array" aca="1" ref="W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7" s="1" t="str" cm="1">
        <f t="array" aca="1" ref="X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7" s="1" t="str" cm="1">
        <f t="array" aca="1" ref="Y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7" s="1" t="str" cm="1">
        <f t="array" aca="1" ref="Z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7" s="1" t="str" cm="1">
        <f t="array" aca="1" ref="AA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7" s="1" t="str" cm="1">
        <f t="array" aca="1" ref="AB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7" s="1" t="str" cm="1">
        <f t="array" aca="1" ref="AC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7" s="1" t="str" cm="1">
        <f t="array" aca="1" ref="AD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7" s="1" t="str" cm="1">
        <f t="array" aca="1" ref="AE15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8" spans="1:31">
      <c r="A158" s="1" t="str" cm="1">
        <f t="array" aca="1" ref="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8" s="1" t="str" cm="1">
        <f t="array" aca="1" ref="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8" s="1" t="str" cm="1">
        <f t="array" aca="1" ref="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8" s="1" t="str" cm="1">
        <f t="array" aca="1" ref="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8" s="1" t="str" cm="1">
        <f t="array" aca="1" ref="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8" s="1" t="str" cm="1">
        <f t="array" aca="1" ref="F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8" s="1" t="str" cm="1">
        <f t="array" aca="1" ref="G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8" s="1" t="str" cm="1">
        <f t="array" aca="1" ref="H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8" s="1" t="str" cm="1">
        <f t="array" aca="1" ref="I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8" s="1" t="str" cm="1">
        <f t="array" aca="1" ref="J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8" s="1" t="str" cm="1">
        <f t="array" aca="1" ref="K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8" s="1" t="str" cm="1">
        <f t="array" aca="1" ref="L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8" s="1" t="str" cm="1">
        <f t="array" aca="1" ref="M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8" s="1" t="str" cm="1">
        <f t="array" aca="1" ref="N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8" s="1" t="str" cm="1">
        <f t="array" aca="1" ref="O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8" s="1" t="str" cm="1">
        <f t="array" aca="1" ref="P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8" s="1" t="str" cm="1">
        <f t="array" aca="1" ref="Q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8" s="1" t="str" cm="1">
        <f t="array" aca="1" ref="R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8" s="1" t="str" cm="1">
        <f t="array" aca="1" ref="S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8" s="1" t="str" cm="1">
        <f t="array" aca="1" ref="T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8" s="1" t="str" cm="1">
        <f t="array" aca="1" ref="U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8" s="1" t="str" cm="1">
        <f t="array" aca="1" ref="V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8" s="1" t="str" cm="1">
        <f t="array" aca="1" ref="W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8" s="1" t="str" cm="1">
        <f t="array" aca="1" ref="X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8" s="1" t="str" cm="1">
        <f t="array" aca="1" ref="Y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8" s="1" t="str" cm="1">
        <f t="array" aca="1" ref="Z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8" s="1" t="str" cm="1">
        <f t="array" aca="1" ref="AA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8" s="1" t="str" cm="1">
        <f t="array" aca="1" ref="AB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8" s="1" t="str" cm="1">
        <f t="array" aca="1" ref="AC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8" s="1" t="str" cm="1">
        <f t="array" aca="1" ref="AD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8" s="1" t="str" cm="1">
        <f t="array" aca="1" ref="AE15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59" spans="1:31">
      <c r="A159" s="1" t="str" cm="1">
        <f t="array" aca="1" ref="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59" s="1" t="str" cm="1">
        <f t="array" aca="1" ref="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59" s="1" t="str" cm="1">
        <f t="array" aca="1" ref="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59" s="1" t="str" cm="1">
        <f t="array" aca="1" ref="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59" s="1" t="str" cm="1">
        <f t="array" aca="1" ref="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59" s="1" t="str" cm="1">
        <f t="array" aca="1" ref="F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59" s="1" t="str" cm="1">
        <f t="array" aca="1" ref="G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59" s="1" t="str" cm="1">
        <f t="array" aca="1" ref="H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59" s="1" t="str" cm="1">
        <f t="array" aca="1" ref="I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59" s="1" t="str" cm="1">
        <f t="array" aca="1" ref="J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59" s="1" t="str" cm="1">
        <f t="array" aca="1" ref="K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59" s="1" t="str" cm="1">
        <f t="array" aca="1" ref="L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59" s="1" t="str" cm="1">
        <f t="array" aca="1" ref="M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59" s="1" t="str" cm="1">
        <f t="array" aca="1" ref="N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59" s="1" t="str" cm="1">
        <f t="array" aca="1" ref="O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59" s="1" t="str" cm="1">
        <f t="array" aca="1" ref="P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59" s="1" t="str" cm="1">
        <f t="array" aca="1" ref="Q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59" s="1" t="str" cm="1">
        <f t="array" aca="1" ref="R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59" s="1" t="str" cm="1">
        <f t="array" aca="1" ref="S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59" s="1" t="str" cm="1">
        <f t="array" aca="1" ref="T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59" s="1" t="str" cm="1">
        <f t="array" aca="1" ref="U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59" s="1" t="str" cm="1">
        <f t="array" aca="1" ref="V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59" s="1" t="str" cm="1">
        <f t="array" aca="1" ref="W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59" s="1" t="str" cm="1">
        <f t="array" aca="1" ref="X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59" s="1" t="str" cm="1">
        <f t="array" aca="1" ref="Y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59" s="1" t="str" cm="1">
        <f t="array" aca="1" ref="Z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59" s="1" t="str" cm="1">
        <f t="array" aca="1" ref="AA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59" s="1" t="str" cm="1">
        <f t="array" aca="1" ref="AB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59" s="1" t="str" cm="1">
        <f t="array" aca="1" ref="AC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59" s="1" t="str" cm="1">
        <f t="array" aca="1" ref="AD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59" s="1" t="str" cm="1">
        <f t="array" aca="1" ref="AE15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0" spans="1:31">
      <c r="A160" s="1" t="str" cm="1">
        <f t="array" aca="1" ref="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0" s="1" t="str" cm="1">
        <f t="array" aca="1" ref="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0" s="1" t="str" cm="1">
        <f t="array" aca="1" ref="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0" s="1" t="str" cm="1">
        <f t="array" aca="1" ref="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0" s="1" t="str" cm="1">
        <f t="array" aca="1" ref="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0" s="1" t="str" cm="1">
        <f t="array" aca="1" ref="F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0" s="1" t="str" cm="1">
        <f t="array" aca="1" ref="G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0" s="1" t="str" cm="1">
        <f t="array" aca="1" ref="H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0" s="1" t="str" cm="1">
        <f t="array" aca="1" ref="I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0" s="1" t="str" cm="1">
        <f t="array" aca="1" ref="J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0" s="1" t="str" cm="1">
        <f t="array" aca="1" ref="K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0" s="1" t="str" cm="1">
        <f t="array" aca="1" ref="L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0" s="1" t="str" cm="1">
        <f t="array" aca="1" ref="M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0" s="1" t="str" cm="1">
        <f t="array" aca="1" ref="N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0" s="1" t="str" cm="1">
        <f t="array" aca="1" ref="O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0" s="1" t="str" cm="1">
        <f t="array" aca="1" ref="P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0" s="1" t="str" cm="1">
        <f t="array" aca="1" ref="Q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0" s="1" t="str" cm="1">
        <f t="array" aca="1" ref="R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0" s="1" t="str" cm="1">
        <f t="array" aca="1" ref="S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0" s="1" t="str" cm="1">
        <f t="array" aca="1" ref="T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0" s="1" t="str" cm="1">
        <f t="array" aca="1" ref="U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0" s="1" t="str" cm="1">
        <f t="array" aca="1" ref="V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0" s="1" t="str" cm="1">
        <f t="array" aca="1" ref="W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0" s="1" t="str" cm="1">
        <f t="array" aca="1" ref="X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0" s="1" t="str" cm="1">
        <f t="array" aca="1" ref="Y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0" s="1" t="str" cm="1">
        <f t="array" aca="1" ref="Z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0" s="1" t="str" cm="1">
        <f t="array" aca="1" ref="AA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0" s="1" t="str" cm="1">
        <f t="array" aca="1" ref="AB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0" s="1" t="str" cm="1">
        <f t="array" aca="1" ref="AC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0" s="1" t="str" cm="1">
        <f t="array" aca="1" ref="AD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0" s="1" t="str" cm="1">
        <f t="array" aca="1" ref="AE16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1" spans="1:31">
      <c r="A161" s="1" t="str" cm="1">
        <f t="array" aca="1" ref="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1" s="1" t="str" cm="1">
        <f t="array" aca="1" ref="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1" s="1" t="str" cm="1">
        <f t="array" aca="1" ref="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1" s="1" t="str" cm="1">
        <f t="array" aca="1" ref="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1" s="1" t="str" cm="1">
        <f t="array" aca="1" ref="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1" s="1" t="str" cm="1">
        <f t="array" aca="1" ref="F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1" s="1" t="str" cm="1">
        <f t="array" aca="1" ref="G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1" s="1" t="str" cm="1">
        <f t="array" aca="1" ref="H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1" s="1" t="str" cm="1">
        <f t="array" aca="1" ref="I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1" s="1" t="str" cm="1">
        <f t="array" aca="1" ref="J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1" s="1" t="str" cm="1">
        <f t="array" aca="1" ref="K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1" s="1" t="str" cm="1">
        <f t="array" aca="1" ref="L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1" s="1" t="str" cm="1">
        <f t="array" aca="1" ref="M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1" s="1" t="str" cm="1">
        <f t="array" aca="1" ref="N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1" s="1" t="str" cm="1">
        <f t="array" aca="1" ref="O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1" s="1" t="str" cm="1">
        <f t="array" aca="1" ref="P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1" s="1" t="str" cm="1">
        <f t="array" aca="1" ref="Q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1" s="1" t="str" cm="1">
        <f t="array" aca="1" ref="R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1" s="1" t="str" cm="1">
        <f t="array" aca="1" ref="S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1" s="1" t="str" cm="1">
        <f t="array" aca="1" ref="T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1" s="1" t="str" cm="1">
        <f t="array" aca="1" ref="U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1" s="1" t="str" cm="1">
        <f t="array" aca="1" ref="V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1" s="1" t="str" cm="1">
        <f t="array" aca="1" ref="W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1" s="1" t="str" cm="1">
        <f t="array" aca="1" ref="X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1" s="1" t="str" cm="1">
        <f t="array" aca="1" ref="Y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1" s="1" t="str" cm="1">
        <f t="array" aca="1" ref="Z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1" s="1" t="str" cm="1">
        <f t="array" aca="1" ref="AA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1" s="1" t="str" cm="1">
        <f t="array" aca="1" ref="AB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1" s="1" t="str" cm="1">
        <f t="array" aca="1" ref="AC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1" s="1" t="str" cm="1">
        <f t="array" aca="1" ref="AD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1" s="1" t="str" cm="1">
        <f t="array" aca="1" ref="AE16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2" spans="1:31">
      <c r="A162" s="1" t="str" cm="1">
        <f t="array" aca="1" ref="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2" s="1" t="str" cm="1">
        <f t="array" aca="1" ref="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2" s="1" t="str" cm="1">
        <f t="array" aca="1" ref="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2" s="1" t="str" cm="1">
        <f t="array" aca="1" ref="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2" s="1" t="str" cm="1">
        <f t="array" aca="1" ref="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2" s="1" t="str" cm="1">
        <f t="array" aca="1" ref="F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2" s="1" t="str" cm="1">
        <f t="array" aca="1" ref="G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2" s="1" t="str" cm="1">
        <f t="array" aca="1" ref="H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2" s="1" t="str" cm="1">
        <f t="array" aca="1" ref="I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2" s="1" t="str" cm="1">
        <f t="array" aca="1" ref="J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2" s="1" t="str" cm="1">
        <f t="array" aca="1" ref="K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2" s="1" t="str" cm="1">
        <f t="array" aca="1" ref="L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2" s="1" t="str" cm="1">
        <f t="array" aca="1" ref="M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2" s="1" t="str" cm="1">
        <f t="array" aca="1" ref="N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2" s="1" t="str" cm="1">
        <f t="array" aca="1" ref="O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2" s="1" t="str" cm="1">
        <f t="array" aca="1" ref="P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2" s="1" t="str" cm="1">
        <f t="array" aca="1" ref="Q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2" s="1" t="str" cm="1">
        <f t="array" aca="1" ref="R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2" s="1" t="str" cm="1">
        <f t="array" aca="1" ref="S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2" s="1" t="str" cm="1">
        <f t="array" aca="1" ref="T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2" s="1" t="str" cm="1">
        <f t="array" aca="1" ref="U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2" s="1" t="str" cm="1">
        <f t="array" aca="1" ref="V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2" s="1" t="str" cm="1">
        <f t="array" aca="1" ref="W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2" s="1" t="str" cm="1">
        <f t="array" aca="1" ref="X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2" s="1" t="str" cm="1">
        <f t="array" aca="1" ref="Y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2" s="1" t="str" cm="1">
        <f t="array" aca="1" ref="Z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2" s="1" t="str" cm="1">
        <f t="array" aca="1" ref="AA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2" s="1" t="str" cm="1">
        <f t="array" aca="1" ref="AB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2" s="1" t="str" cm="1">
        <f t="array" aca="1" ref="AC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2" s="1" t="str" cm="1">
        <f t="array" aca="1" ref="AD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2" s="1" t="str" cm="1">
        <f t="array" aca="1" ref="AE16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3" spans="1:31">
      <c r="A163" s="1" t="str" cm="1">
        <f t="array" aca="1" ref="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3" s="1" t="str" cm="1">
        <f t="array" aca="1" ref="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3" s="1" t="str" cm="1">
        <f t="array" aca="1" ref="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3" s="1" t="str" cm="1">
        <f t="array" aca="1" ref="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3" s="1" t="str" cm="1">
        <f t="array" aca="1" ref="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3" s="1" t="str" cm="1">
        <f t="array" aca="1" ref="F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3" s="1" t="str" cm="1">
        <f t="array" aca="1" ref="G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3" s="1" t="str" cm="1">
        <f t="array" aca="1" ref="H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3" s="1" t="str" cm="1">
        <f t="array" aca="1" ref="I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3" s="1" t="str" cm="1">
        <f t="array" aca="1" ref="J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3" s="1" t="str" cm="1">
        <f t="array" aca="1" ref="K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3" s="1" t="str" cm="1">
        <f t="array" aca="1" ref="L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3" s="1" t="str" cm="1">
        <f t="array" aca="1" ref="M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3" s="1" t="str" cm="1">
        <f t="array" aca="1" ref="N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3" s="1" t="str" cm="1">
        <f t="array" aca="1" ref="O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3" s="1" t="str" cm="1">
        <f t="array" aca="1" ref="P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3" s="1" t="str" cm="1">
        <f t="array" aca="1" ref="Q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3" s="1" t="str" cm="1">
        <f t="array" aca="1" ref="R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3" s="1" t="str" cm="1">
        <f t="array" aca="1" ref="S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3" s="1" t="str" cm="1">
        <f t="array" aca="1" ref="T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3" s="1" t="str" cm="1">
        <f t="array" aca="1" ref="U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3" s="1" t="str" cm="1">
        <f t="array" aca="1" ref="V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3" s="1" t="str" cm="1">
        <f t="array" aca="1" ref="W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3" s="1" t="str" cm="1">
        <f t="array" aca="1" ref="X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3" s="1" t="str" cm="1">
        <f t="array" aca="1" ref="Y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3" s="1" t="str" cm="1">
        <f t="array" aca="1" ref="Z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3" s="1" t="str" cm="1">
        <f t="array" aca="1" ref="AA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3" s="1" t="str" cm="1">
        <f t="array" aca="1" ref="AB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3" s="1" t="str" cm="1">
        <f t="array" aca="1" ref="AC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3" s="1" t="str" cm="1">
        <f t="array" aca="1" ref="AD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3" s="1" t="str" cm="1">
        <f t="array" aca="1" ref="AE16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4" spans="1:31">
      <c r="A164" s="1" t="str" cm="1">
        <f t="array" aca="1" ref="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4" s="1" t="str" cm="1">
        <f t="array" aca="1" ref="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4" s="1" t="str" cm="1">
        <f t="array" aca="1" ref="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4" s="1" t="str" cm="1">
        <f t="array" aca="1" ref="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4" s="1" t="str" cm="1">
        <f t="array" aca="1" ref="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4" s="1" t="str" cm="1">
        <f t="array" aca="1" ref="F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4" s="1" t="str" cm="1">
        <f t="array" aca="1" ref="G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4" s="1" t="str" cm="1">
        <f t="array" aca="1" ref="H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4" s="1" t="str" cm="1">
        <f t="array" aca="1" ref="I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4" s="1" t="str" cm="1">
        <f t="array" aca="1" ref="J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4" s="1" t="str" cm="1">
        <f t="array" aca="1" ref="K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4" s="1" t="str" cm="1">
        <f t="array" aca="1" ref="L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4" s="1" t="str" cm="1">
        <f t="array" aca="1" ref="M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4" s="1" t="str" cm="1">
        <f t="array" aca="1" ref="N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4" s="1" t="str" cm="1">
        <f t="array" aca="1" ref="O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4" s="1" t="str" cm="1">
        <f t="array" aca="1" ref="P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4" s="1" t="str" cm="1">
        <f t="array" aca="1" ref="Q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4" s="1" t="str" cm="1">
        <f t="array" aca="1" ref="R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4" s="1" t="str" cm="1">
        <f t="array" aca="1" ref="S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4" s="1" t="str" cm="1">
        <f t="array" aca="1" ref="T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4" s="1" t="str" cm="1">
        <f t="array" aca="1" ref="U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4" s="1" t="str" cm="1">
        <f t="array" aca="1" ref="V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4" s="1" t="str" cm="1">
        <f t="array" aca="1" ref="W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4" s="1" t="str" cm="1">
        <f t="array" aca="1" ref="X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4" s="1" t="str" cm="1">
        <f t="array" aca="1" ref="Y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4" s="1" t="str" cm="1">
        <f t="array" aca="1" ref="Z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4" s="1" t="str" cm="1">
        <f t="array" aca="1" ref="AA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4" s="1" t="str" cm="1">
        <f t="array" aca="1" ref="AB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4" s="1" t="str" cm="1">
        <f t="array" aca="1" ref="AC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4" s="1" t="str" cm="1">
        <f t="array" aca="1" ref="AD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4" s="1" t="str" cm="1">
        <f t="array" aca="1" ref="AE16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5" spans="1:31">
      <c r="A165" s="1" t="str" cm="1">
        <f t="array" aca="1" ref="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5" s="1" t="str" cm="1">
        <f t="array" aca="1" ref="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5" s="1" t="str" cm="1">
        <f t="array" aca="1" ref="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5" s="1" t="str" cm="1">
        <f t="array" aca="1" ref="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5" s="1" t="str" cm="1">
        <f t="array" aca="1" ref="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5" s="1" t="str" cm="1">
        <f t="array" aca="1" ref="F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5" s="1" t="str" cm="1">
        <f t="array" aca="1" ref="G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5" s="1" t="str" cm="1">
        <f t="array" aca="1" ref="H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5" s="1" t="str" cm="1">
        <f t="array" aca="1" ref="I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5" s="1" t="str" cm="1">
        <f t="array" aca="1" ref="J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5" s="1" t="str" cm="1">
        <f t="array" aca="1" ref="K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5" s="1" t="str" cm="1">
        <f t="array" aca="1" ref="L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5" s="1" t="str" cm="1">
        <f t="array" aca="1" ref="M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5" s="1" t="str" cm="1">
        <f t="array" aca="1" ref="N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5" s="1" t="str" cm="1">
        <f t="array" aca="1" ref="O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5" s="1" t="str" cm="1">
        <f t="array" aca="1" ref="P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5" s="1" t="str" cm="1">
        <f t="array" aca="1" ref="Q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5" s="1" t="str" cm="1">
        <f t="array" aca="1" ref="R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5" s="1" t="str" cm="1">
        <f t="array" aca="1" ref="S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5" s="1" t="str" cm="1">
        <f t="array" aca="1" ref="T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5" s="1" t="str" cm="1">
        <f t="array" aca="1" ref="U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5" s="1" t="str" cm="1">
        <f t="array" aca="1" ref="V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5" s="1" t="str" cm="1">
        <f t="array" aca="1" ref="W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5" s="1" t="str" cm="1">
        <f t="array" aca="1" ref="X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5" s="1" t="str" cm="1">
        <f t="array" aca="1" ref="Y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5" s="1" t="str" cm="1">
        <f t="array" aca="1" ref="Z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5" s="1" t="str" cm="1">
        <f t="array" aca="1" ref="AA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5" s="1" t="str" cm="1">
        <f t="array" aca="1" ref="AB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5" s="1" t="str" cm="1">
        <f t="array" aca="1" ref="AC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5" s="1" t="str" cm="1">
        <f t="array" aca="1" ref="AD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5" s="1" t="str" cm="1">
        <f t="array" aca="1" ref="AE16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6" spans="1:31">
      <c r="A166" s="1" t="str" cm="1">
        <f t="array" aca="1" ref="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6" s="1" t="str" cm="1">
        <f t="array" aca="1" ref="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6" s="1" t="str" cm="1">
        <f t="array" aca="1" ref="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6" s="1" t="str" cm="1">
        <f t="array" aca="1" ref="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6" s="1" t="str" cm="1">
        <f t="array" aca="1" ref="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6" s="1" t="str" cm="1">
        <f t="array" aca="1" ref="F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6" s="1" t="str" cm="1">
        <f t="array" aca="1" ref="G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6" s="1" t="str" cm="1">
        <f t="array" aca="1" ref="H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6" s="1" t="str" cm="1">
        <f t="array" aca="1" ref="I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6" s="1" t="str" cm="1">
        <f t="array" aca="1" ref="J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6" s="1" t="str" cm="1">
        <f t="array" aca="1" ref="K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6" s="1" t="str" cm="1">
        <f t="array" aca="1" ref="L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6" s="1" t="str" cm="1">
        <f t="array" aca="1" ref="M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6" s="1" t="str" cm="1">
        <f t="array" aca="1" ref="N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6" s="1" t="str" cm="1">
        <f t="array" aca="1" ref="O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6" s="1" t="str" cm="1">
        <f t="array" aca="1" ref="P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6" s="1" t="str" cm="1">
        <f t="array" aca="1" ref="Q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6" s="1" t="str" cm="1">
        <f t="array" aca="1" ref="R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6" s="1" t="str" cm="1">
        <f t="array" aca="1" ref="S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6" s="1" t="str" cm="1">
        <f t="array" aca="1" ref="T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6" s="1" t="str" cm="1">
        <f t="array" aca="1" ref="U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6" s="1" t="str" cm="1">
        <f t="array" aca="1" ref="V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6" s="1" t="str" cm="1">
        <f t="array" aca="1" ref="W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6" s="1" t="str" cm="1">
        <f t="array" aca="1" ref="X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6" s="1" t="str" cm="1">
        <f t="array" aca="1" ref="Y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6" s="1" t="str" cm="1">
        <f t="array" aca="1" ref="Z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6" s="1" t="str" cm="1">
        <f t="array" aca="1" ref="AA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6" s="1" t="str" cm="1">
        <f t="array" aca="1" ref="AB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6" s="1" t="str" cm="1">
        <f t="array" aca="1" ref="AC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6" s="1" t="str" cm="1">
        <f t="array" aca="1" ref="AD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6" s="1" t="str" cm="1">
        <f t="array" aca="1" ref="AE16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7" spans="1:31">
      <c r="A167" s="1" t="str" cm="1">
        <f t="array" aca="1" ref="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7" s="1" t="str" cm="1">
        <f t="array" aca="1" ref="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7" s="1" t="str" cm="1">
        <f t="array" aca="1" ref="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7" s="1" t="str" cm="1">
        <f t="array" aca="1" ref="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7" s="1" t="str" cm="1">
        <f t="array" aca="1" ref="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7" s="1" t="str" cm="1">
        <f t="array" aca="1" ref="F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7" s="1" t="str" cm="1">
        <f t="array" aca="1" ref="G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7" s="1" t="str" cm="1">
        <f t="array" aca="1" ref="H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7" s="1" t="str" cm="1">
        <f t="array" aca="1" ref="I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7" s="1" t="str" cm="1">
        <f t="array" aca="1" ref="J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7" s="1" t="str" cm="1">
        <f t="array" aca="1" ref="K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7" s="1" t="str" cm="1">
        <f t="array" aca="1" ref="L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7" s="1" t="str" cm="1">
        <f t="array" aca="1" ref="M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7" s="1" t="str" cm="1">
        <f t="array" aca="1" ref="N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7" s="1" t="str" cm="1">
        <f t="array" aca="1" ref="O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7" s="1" t="str" cm="1">
        <f t="array" aca="1" ref="P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7" s="1" t="str" cm="1">
        <f t="array" aca="1" ref="Q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7" s="1" t="str" cm="1">
        <f t="array" aca="1" ref="R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7" s="1" t="str" cm="1">
        <f t="array" aca="1" ref="S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7" s="1" t="str" cm="1">
        <f t="array" aca="1" ref="T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7" s="1" t="str" cm="1">
        <f t="array" aca="1" ref="U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7" s="1" t="str" cm="1">
        <f t="array" aca="1" ref="V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7" s="1" t="str" cm="1">
        <f t="array" aca="1" ref="W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7" s="1" t="str" cm="1">
        <f t="array" aca="1" ref="X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7" s="1" t="str" cm="1">
        <f t="array" aca="1" ref="Y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7" s="1" t="str" cm="1">
        <f t="array" aca="1" ref="Z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7" s="1" t="str" cm="1">
        <f t="array" aca="1" ref="AA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7" s="1" t="str" cm="1">
        <f t="array" aca="1" ref="AB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7" s="1" t="str" cm="1">
        <f t="array" aca="1" ref="AC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7" s="1" t="str" cm="1">
        <f t="array" aca="1" ref="AD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7" s="1" t="str" cm="1">
        <f t="array" aca="1" ref="AE16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8" spans="1:31">
      <c r="A168" s="1" t="str" cm="1">
        <f t="array" aca="1" ref="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8" s="1" t="str" cm="1">
        <f t="array" aca="1" ref="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8" s="1" t="str" cm="1">
        <f t="array" aca="1" ref="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8" s="1" t="str" cm="1">
        <f t="array" aca="1" ref="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8" s="1" t="str" cm="1">
        <f t="array" aca="1" ref="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8" s="1" t="str" cm="1">
        <f t="array" aca="1" ref="F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8" s="1" t="str" cm="1">
        <f t="array" aca="1" ref="G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8" s="1" t="str" cm="1">
        <f t="array" aca="1" ref="H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8" s="1" t="str" cm="1">
        <f t="array" aca="1" ref="I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8" s="1" t="str" cm="1">
        <f t="array" aca="1" ref="J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8" s="1" t="str" cm="1">
        <f t="array" aca="1" ref="K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8" s="1" t="str" cm="1">
        <f t="array" aca="1" ref="L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8" s="1" t="str" cm="1">
        <f t="array" aca="1" ref="M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8" s="1" t="str" cm="1">
        <f t="array" aca="1" ref="N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8" s="1" t="str" cm="1">
        <f t="array" aca="1" ref="O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8" s="1" t="str" cm="1">
        <f t="array" aca="1" ref="P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8" s="1" t="str" cm="1">
        <f t="array" aca="1" ref="Q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8" s="1" t="str" cm="1">
        <f t="array" aca="1" ref="R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8" s="1" t="str" cm="1">
        <f t="array" aca="1" ref="S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8" s="1" t="str" cm="1">
        <f t="array" aca="1" ref="T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8" s="1" t="str" cm="1">
        <f t="array" aca="1" ref="U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8" s="1" t="str" cm="1">
        <f t="array" aca="1" ref="V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8" s="1" t="str" cm="1">
        <f t="array" aca="1" ref="W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8" s="1" t="str" cm="1">
        <f t="array" aca="1" ref="X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8" s="1" t="str" cm="1">
        <f t="array" aca="1" ref="Y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8" s="1" t="str" cm="1">
        <f t="array" aca="1" ref="Z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8" s="1" t="str" cm="1">
        <f t="array" aca="1" ref="AA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8" s="1" t="str" cm="1">
        <f t="array" aca="1" ref="AB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8" s="1" t="str" cm="1">
        <f t="array" aca="1" ref="AC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8" s="1" t="str" cm="1">
        <f t="array" aca="1" ref="AD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8" s="1" t="str" cm="1">
        <f t="array" aca="1" ref="AE16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69" spans="1:31">
      <c r="A169" s="1" t="str" cm="1">
        <f t="array" aca="1" ref="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69" s="1" t="str" cm="1">
        <f t="array" aca="1" ref="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69" s="1" t="str" cm="1">
        <f t="array" aca="1" ref="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69" s="1" t="str" cm="1">
        <f t="array" aca="1" ref="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69" s="1" t="str" cm="1">
        <f t="array" aca="1" ref="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69" s="1" t="str" cm="1">
        <f t="array" aca="1" ref="F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69" s="1" t="str" cm="1">
        <f t="array" aca="1" ref="G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69" s="1" t="str" cm="1">
        <f t="array" aca="1" ref="H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69" s="1" t="str" cm="1">
        <f t="array" aca="1" ref="I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69" s="1" t="str" cm="1">
        <f t="array" aca="1" ref="J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69" s="1" t="str" cm="1">
        <f t="array" aca="1" ref="K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69" s="1" t="str" cm="1">
        <f t="array" aca="1" ref="L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69" s="1" t="str" cm="1">
        <f t="array" aca="1" ref="M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69" s="1" t="str" cm="1">
        <f t="array" aca="1" ref="N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69" s="1" t="str" cm="1">
        <f t="array" aca="1" ref="O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69" s="1" t="str" cm="1">
        <f t="array" aca="1" ref="P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69" s="1" t="str" cm="1">
        <f t="array" aca="1" ref="Q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69" s="1" t="str" cm="1">
        <f t="array" aca="1" ref="R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69" s="1" t="str" cm="1">
        <f t="array" aca="1" ref="S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69" s="1" t="str" cm="1">
        <f t="array" aca="1" ref="T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69" s="1" t="str" cm="1">
        <f t="array" aca="1" ref="U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69" s="1" t="str" cm="1">
        <f t="array" aca="1" ref="V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69" s="1" t="str" cm="1">
        <f t="array" aca="1" ref="W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69" s="1" t="str" cm="1">
        <f t="array" aca="1" ref="X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69" s="1" t="str" cm="1">
        <f t="array" aca="1" ref="Y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69" s="1" t="str" cm="1">
        <f t="array" aca="1" ref="Z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69" s="1" t="str" cm="1">
        <f t="array" aca="1" ref="AA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69" s="1" t="str" cm="1">
        <f t="array" aca="1" ref="AB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69" s="1" t="str" cm="1">
        <f t="array" aca="1" ref="AC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69" s="1" t="str" cm="1">
        <f t="array" aca="1" ref="AD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69" s="1" t="str" cm="1">
        <f t="array" aca="1" ref="AE16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0" spans="1:31">
      <c r="A170" s="1" t="str" cm="1">
        <f t="array" aca="1" ref="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0" s="1" t="str" cm="1">
        <f t="array" aca="1" ref="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0" s="1" t="str" cm="1">
        <f t="array" aca="1" ref="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0" s="1" t="str" cm="1">
        <f t="array" aca="1" ref="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0" s="1" t="str" cm="1">
        <f t="array" aca="1" ref="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0" s="1" t="str" cm="1">
        <f t="array" aca="1" ref="F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0" s="1" t="str" cm="1">
        <f t="array" aca="1" ref="G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0" s="1" t="str" cm="1">
        <f t="array" aca="1" ref="H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0" s="1" t="str" cm="1">
        <f t="array" aca="1" ref="I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0" s="1" t="str" cm="1">
        <f t="array" aca="1" ref="J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0" s="1" t="str" cm="1">
        <f t="array" aca="1" ref="K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0" s="1" t="str" cm="1">
        <f t="array" aca="1" ref="L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0" s="1" t="str" cm="1">
        <f t="array" aca="1" ref="M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0" s="1" t="str" cm="1">
        <f t="array" aca="1" ref="N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0" s="1" t="str" cm="1">
        <f t="array" aca="1" ref="O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0" s="1" t="str" cm="1">
        <f t="array" aca="1" ref="P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0" s="1" t="str" cm="1">
        <f t="array" aca="1" ref="Q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0" s="1" t="str" cm="1">
        <f t="array" aca="1" ref="R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0" s="1" t="str" cm="1">
        <f t="array" aca="1" ref="S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0" s="1" t="str" cm="1">
        <f t="array" aca="1" ref="T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0" s="1" t="str" cm="1">
        <f t="array" aca="1" ref="U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0" s="1" t="str" cm="1">
        <f t="array" aca="1" ref="V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0" s="1" t="str" cm="1">
        <f t="array" aca="1" ref="W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0" s="1" t="str" cm="1">
        <f t="array" aca="1" ref="X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0" s="1" t="str" cm="1">
        <f t="array" aca="1" ref="Y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0" s="1" t="str" cm="1">
        <f t="array" aca="1" ref="Z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0" s="1" t="str" cm="1">
        <f t="array" aca="1" ref="AA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0" s="1" t="str" cm="1">
        <f t="array" aca="1" ref="AB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0" s="1" t="str" cm="1">
        <f t="array" aca="1" ref="AC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0" s="1" t="str" cm="1">
        <f t="array" aca="1" ref="AD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0" s="1" t="str" cm="1">
        <f t="array" aca="1" ref="AE17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1" spans="1:31">
      <c r="A171" s="1" t="str" cm="1">
        <f t="array" aca="1" ref="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1" s="1" t="str" cm="1">
        <f t="array" aca="1" ref="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1" s="1" t="str" cm="1">
        <f t="array" aca="1" ref="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1" s="1" t="str" cm="1">
        <f t="array" aca="1" ref="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1" s="1" t="str" cm="1">
        <f t="array" aca="1" ref="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1" s="1" t="str" cm="1">
        <f t="array" aca="1" ref="F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1" s="1" t="str" cm="1">
        <f t="array" aca="1" ref="G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1" s="1" t="str" cm="1">
        <f t="array" aca="1" ref="H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1" s="1" t="str" cm="1">
        <f t="array" aca="1" ref="I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1" s="1" t="str" cm="1">
        <f t="array" aca="1" ref="J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1" s="1" t="str" cm="1">
        <f t="array" aca="1" ref="K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1" s="1" t="str" cm="1">
        <f t="array" aca="1" ref="L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1" s="1" t="str" cm="1">
        <f t="array" aca="1" ref="M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1" s="1" t="str" cm="1">
        <f t="array" aca="1" ref="N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1" s="1" t="str" cm="1">
        <f t="array" aca="1" ref="O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1" s="1" t="str" cm="1">
        <f t="array" aca="1" ref="P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1" s="1" t="str" cm="1">
        <f t="array" aca="1" ref="Q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1" s="1" t="str" cm="1">
        <f t="array" aca="1" ref="R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1" s="1" t="str" cm="1">
        <f t="array" aca="1" ref="S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1" s="1" t="str" cm="1">
        <f t="array" aca="1" ref="T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1" s="1" t="str" cm="1">
        <f t="array" aca="1" ref="U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1" s="1" t="str" cm="1">
        <f t="array" aca="1" ref="V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1" s="1" t="str" cm="1">
        <f t="array" aca="1" ref="W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1" s="1" t="str" cm="1">
        <f t="array" aca="1" ref="X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1" s="1" t="str" cm="1">
        <f t="array" aca="1" ref="Y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1" s="1" t="str" cm="1">
        <f t="array" aca="1" ref="Z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1" s="1" t="str" cm="1">
        <f t="array" aca="1" ref="AA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1" s="1" t="str" cm="1">
        <f t="array" aca="1" ref="AB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1" s="1" t="str" cm="1">
        <f t="array" aca="1" ref="AC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1" s="1" t="str" cm="1">
        <f t="array" aca="1" ref="AD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1" s="1" t="str" cm="1">
        <f t="array" aca="1" ref="AE17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2" spans="1:31">
      <c r="A172" s="1" t="str" cm="1">
        <f t="array" aca="1" ref="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2" s="1" t="str" cm="1">
        <f t="array" aca="1" ref="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2" s="1" t="str" cm="1">
        <f t="array" aca="1" ref="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2" s="1" t="str" cm="1">
        <f t="array" aca="1" ref="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2" s="1" t="str" cm="1">
        <f t="array" aca="1" ref="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2" s="1" t="str" cm="1">
        <f t="array" aca="1" ref="F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2" s="1" t="str" cm="1">
        <f t="array" aca="1" ref="G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2" s="1" t="str" cm="1">
        <f t="array" aca="1" ref="H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2" s="1" t="str" cm="1">
        <f t="array" aca="1" ref="I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2" s="1" t="str" cm="1">
        <f t="array" aca="1" ref="J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2" s="1" t="str" cm="1">
        <f t="array" aca="1" ref="K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2" s="1" t="str" cm="1">
        <f t="array" aca="1" ref="L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2" s="1" t="str" cm="1">
        <f t="array" aca="1" ref="M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2" s="1" t="str" cm="1">
        <f t="array" aca="1" ref="N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2" s="1" t="str" cm="1">
        <f t="array" aca="1" ref="O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2" s="1" t="str" cm="1">
        <f t="array" aca="1" ref="P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2" s="1" t="str" cm="1">
        <f t="array" aca="1" ref="Q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2" s="1" t="str" cm="1">
        <f t="array" aca="1" ref="R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2" s="1" t="str" cm="1">
        <f t="array" aca="1" ref="S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2" s="1" t="str" cm="1">
        <f t="array" aca="1" ref="T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2" s="1" t="str" cm="1">
        <f t="array" aca="1" ref="U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2" s="1" t="str" cm="1">
        <f t="array" aca="1" ref="V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2" s="1" t="str" cm="1">
        <f t="array" aca="1" ref="W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2" s="1" t="str" cm="1">
        <f t="array" aca="1" ref="X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2" s="1" t="str" cm="1">
        <f t="array" aca="1" ref="Y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2" s="1" t="str" cm="1">
        <f t="array" aca="1" ref="Z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2" s="1" t="str" cm="1">
        <f t="array" aca="1" ref="AA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2" s="1" t="str" cm="1">
        <f t="array" aca="1" ref="AB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2" s="1" t="str" cm="1">
        <f t="array" aca="1" ref="AC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2" s="1" t="str" cm="1">
        <f t="array" aca="1" ref="AD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2" s="1" t="str" cm="1">
        <f t="array" aca="1" ref="AE17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3" spans="1:31">
      <c r="A173" s="1" t="str" cm="1">
        <f t="array" aca="1" ref="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3" s="1" t="str" cm="1">
        <f t="array" aca="1" ref="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3" s="1" t="str" cm="1">
        <f t="array" aca="1" ref="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3" s="1" t="str" cm="1">
        <f t="array" aca="1" ref="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3" s="1" t="str" cm="1">
        <f t="array" aca="1" ref="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3" s="1" t="str" cm="1">
        <f t="array" aca="1" ref="F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3" s="1" t="str" cm="1">
        <f t="array" aca="1" ref="G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3" s="1" t="str" cm="1">
        <f t="array" aca="1" ref="H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3" s="1" t="str" cm="1">
        <f t="array" aca="1" ref="I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3" s="1" t="str" cm="1">
        <f t="array" aca="1" ref="J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3" s="1" t="str" cm="1">
        <f t="array" aca="1" ref="K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3" s="1" t="str" cm="1">
        <f t="array" aca="1" ref="L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3" s="1" t="str" cm="1">
        <f t="array" aca="1" ref="M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3" s="1" t="str" cm="1">
        <f t="array" aca="1" ref="N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3" s="1" t="str" cm="1">
        <f t="array" aca="1" ref="O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3" s="1" t="str" cm="1">
        <f t="array" aca="1" ref="P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3" s="1" t="str" cm="1">
        <f t="array" aca="1" ref="Q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3" s="1" t="str" cm="1">
        <f t="array" aca="1" ref="R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3" s="1" t="str" cm="1">
        <f t="array" aca="1" ref="S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3" s="1" t="str" cm="1">
        <f t="array" aca="1" ref="T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3" s="1" t="str" cm="1">
        <f t="array" aca="1" ref="U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3" s="1" t="str" cm="1">
        <f t="array" aca="1" ref="V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3" s="1" t="str" cm="1">
        <f t="array" aca="1" ref="W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3" s="1" t="str" cm="1">
        <f t="array" aca="1" ref="X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3" s="1" t="str" cm="1">
        <f t="array" aca="1" ref="Y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3" s="1" t="str" cm="1">
        <f t="array" aca="1" ref="Z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3" s="1" t="str" cm="1">
        <f t="array" aca="1" ref="AA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3" s="1" t="str" cm="1">
        <f t="array" aca="1" ref="AB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3" s="1" t="str" cm="1">
        <f t="array" aca="1" ref="AC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3" s="1" t="str" cm="1">
        <f t="array" aca="1" ref="AD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3" s="1" t="str" cm="1">
        <f t="array" aca="1" ref="AE17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4" spans="1:31">
      <c r="A174" s="1" t="str" cm="1">
        <f t="array" aca="1" ref="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4" s="1" t="str" cm="1">
        <f t="array" aca="1" ref="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4" s="1" t="str" cm="1">
        <f t="array" aca="1" ref="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4" s="1" t="str" cm="1">
        <f t="array" aca="1" ref="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4" s="1" t="str" cm="1">
        <f t="array" aca="1" ref="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4" s="1" t="str" cm="1">
        <f t="array" aca="1" ref="F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4" s="1" t="str" cm="1">
        <f t="array" aca="1" ref="G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4" s="1" t="str" cm="1">
        <f t="array" aca="1" ref="H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4" s="1" t="str" cm="1">
        <f t="array" aca="1" ref="I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4" s="1" t="str" cm="1">
        <f t="array" aca="1" ref="J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4" s="1" t="str" cm="1">
        <f t="array" aca="1" ref="K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4" s="1" t="str" cm="1">
        <f t="array" aca="1" ref="L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4" s="1" t="str" cm="1">
        <f t="array" aca="1" ref="M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4" s="1" t="str" cm="1">
        <f t="array" aca="1" ref="N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4" s="1" t="str" cm="1">
        <f t="array" aca="1" ref="O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4" s="1" t="str" cm="1">
        <f t="array" aca="1" ref="P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4" s="1" t="str" cm="1">
        <f t="array" aca="1" ref="Q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4" s="1" t="str" cm="1">
        <f t="array" aca="1" ref="R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4" s="1" t="str" cm="1">
        <f t="array" aca="1" ref="S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4" s="1" t="str" cm="1">
        <f t="array" aca="1" ref="T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4" s="1" t="str" cm="1">
        <f t="array" aca="1" ref="U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4" s="1" t="str" cm="1">
        <f t="array" aca="1" ref="V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4" s="1" t="str" cm="1">
        <f t="array" aca="1" ref="W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4" s="1" t="str" cm="1">
        <f t="array" aca="1" ref="X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4" s="1" t="str" cm="1">
        <f t="array" aca="1" ref="Y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4" s="1" t="str" cm="1">
        <f t="array" aca="1" ref="Z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4" s="1" t="str" cm="1">
        <f t="array" aca="1" ref="AA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4" s="1" t="str" cm="1">
        <f t="array" aca="1" ref="AB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4" s="1" t="str" cm="1">
        <f t="array" aca="1" ref="AC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4" s="1" t="str" cm="1">
        <f t="array" aca="1" ref="AD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4" s="1" t="str" cm="1">
        <f t="array" aca="1" ref="AE17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5" spans="1:31">
      <c r="A175" s="1" t="str" cm="1">
        <f t="array" aca="1" ref="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5" s="1" t="str" cm="1">
        <f t="array" aca="1" ref="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5" s="1" t="str" cm="1">
        <f t="array" aca="1" ref="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5" s="1" t="str" cm="1">
        <f t="array" aca="1" ref="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5" s="1" t="str" cm="1">
        <f t="array" aca="1" ref="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5" s="1" t="str" cm="1">
        <f t="array" aca="1" ref="F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5" s="1" t="str" cm="1">
        <f t="array" aca="1" ref="G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5" s="1" t="str" cm="1">
        <f t="array" aca="1" ref="H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5" s="1" t="str" cm="1">
        <f t="array" aca="1" ref="I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5" s="1" t="str" cm="1">
        <f t="array" aca="1" ref="J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5" s="1" t="str" cm="1">
        <f t="array" aca="1" ref="K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5" s="1" t="str" cm="1">
        <f t="array" aca="1" ref="L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5" s="1" t="str" cm="1">
        <f t="array" aca="1" ref="M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5" s="1" t="str" cm="1">
        <f t="array" aca="1" ref="N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5" s="1" t="str" cm="1">
        <f t="array" aca="1" ref="O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5" s="1" t="str" cm="1">
        <f t="array" aca="1" ref="P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5" s="1" t="str" cm="1">
        <f t="array" aca="1" ref="Q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5" s="1" t="str" cm="1">
        <f t="array" aca="1" ref="R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5" s="1" t="str" cm="1">
        <f t="array" aca="1" ref="S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5" s="1" t="str" cm="1">
        <f t="array" aca="1" ref="T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5" s="1" t="str" cm="1">
        <f t="array" aca="1" ref="U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5" s="1" t="str" cm="1">
        <f t="array" aca="1" ref="V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5" s="1" t="str" cm="1">
        <f t="array" aca="1" ref="W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5" s="1" t="str" cm="1">
        <f t="array" aca="1" ref="X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5" s="1" t="str" cm="1">
        <f t="array" aca="1" ref="Y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5" s="1" t="str" cm="1">
        <f t="array" aca="1" ref="Z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5" s="1" t="str" cm="1">
        <f t="array" aca="1" ref="AA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5" s="1" t="str" cm="1">
        <f t="array" aca="1" ref="AB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5" s="1" t="str" cm="1">
        <f t="array" aca="1" ref="AC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5" s="1" t="str" cm="1">
        <f t="array" aca="1" ref="AD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5" s="1" t="str" cm="1">
        <f t="array" aca="1" ref="AE17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6" spans="1:31">
      <c r="A176" s="1" t="str" cm="1">
        <f t="array" aca="1" ref="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6" s="1" t="str" cm="1">
        <f t="array" aca="1" ref="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6" s="1" t="str" cm="1">
        <f t="array" aca="1" ref="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6" s="1" t="str" cm="1">
        <f t="array" aca="1" ref="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6" s="1" t="str" cm="1">
        <f t="array" aca="1" ref="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6" s="1" t="str" cm="1">
        <f t="array" aca="1" ref="F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6" s="1" t="str" cm="1">
        <f t="array" aca="1" ref="G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6" s="1" t="str" cm="1">
        <f t="array" aca="1" ref="H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6" s="1" t="str" cm="1">
        <f t="array" aca="1" ref="I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6" s="1" t="str" cm="1">
        <f t="array" aca="1" ref="J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6" s="1" t="str" cm="1">
        <f t="array" aca="1" ref="K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6" s="1" t="str" cm="1">
        <f t="array" aca="1" ref="L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6" s="1" t="str" cm="1">
        <f t="array" aca="1" ref="M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6" s="1" t="str" cm="1">
        <f t="array" aca="1" ref="N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6" s="1" t="str" cm="1">
        <f t="array" aca="1" ref="O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6" s="1" t="str" cm="1">
        <f t="array" aca="1" ref="P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6" s="1" t="str" cm="1">
        <f t="array" aca="1" ref="Q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6" s="1" t="str" cm="1">
        <f t="array" aca="1" ref="R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6" s="1" t="str" cm="1">
        <f t="array" aca="1" ref="S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6" s="1" t="str" cm="1">
        <f t="array" aca="1" ref="T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6" s="1" t="str" cm="1">
        <f t="array" aca="1" ref="U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6" s="1" t="str" cm="1">
        <f t="array" aca="1" ref="V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6" s="1" t="str" cm="1">
        <f t="array" aca="1" ref="W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6" s="1" t="str" cm="1">
        <f t="array" aca="1" ref="X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6" s="1" t="str" cm="1">
        <f t="array" aca="1" ref="Y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6" s="1" t="str" cm="1">
        <f t="array" aca="1" ref="Z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6" s="1" t="str" cm="1">
        <f t="array" aca="1" ref="AA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6" s="1" t="str" cm="1">
        <f t="array" aca="1" ref="AB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6" s="1" t="str" cm="1">
        <f t="array" aca="1" ref="AC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6" s="1" t="str" cm="1">
        <f t="array" aca="1" ref="AD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6" s="1" t="str" cm="1">
        <f t="array" aca="1" ref="AE17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7" spans="1:31">
      <c r="A177" s="1" t="str" cm="1">
        <f t="array" aca="1" ref="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7" s="1" t="str" cm="1">
        <f t="array" aca="1" ref="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7" s="1" t="str" cm="1">
        <f t="array" aca="1" ref="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7" s="1" t="str" cm="1">
        <f t="array" aca="1" ref="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7" s="1" t="str" cm="1">
        <f t="array" aca="1" ref="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7" s="1" t="str" cm="1">
        <f t="array" aca="1" ref="F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7" s="1" t="str" cm="1">
        <f t="array" aca="1" ref="G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7" s="1" t="str" cm="1">
        <f t="array" aca="1" ref="H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7" s="1" t="str" cm="1">
        <f t="array" aca="1" ref="I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7" s="1" t="str" cm="1">
        <f t="array" aca="1" ref="J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7" s="1" t="str" cm="1">
        <f t="array" aca="1" ref="K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7" s="1" t="str" cm="1">
        <f t="array" aca="1" ref="L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7" s="1" t="str" cm="1">
        <f t="array" aca="1" ref="M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7" s="1" t="str" cm="1">
        <f t="array" aca="1" ref="N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7" s="1" t="str" cm="1">
        <f t="array" aca="1" ref="O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7" s="1" t="str" cm="1">
        <f t="array" aca="1" ref="P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7" s="1" t="str" cm="1">
        <f t="array" aca="1" ref="Q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7" s="1" t="str" cm="1">
        <f t="array" aca="1" ref="R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7" s="1" t="str" cm="1">
        <f t="array" aca="1" ref="S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7" s="1" t="str" cm="1">
        <f t="array" aca="1" ref="T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7" s="1" t="str" cm="1">
        <f t="array" aca="1" ref="U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7" s="1" t="str" cm="1">
        <f t="array" aca="1" ref="V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7" s="1" t="str" cm="1">
        <f t="array" aca="1" ref="W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7" s="1" t="str" cm="1">
        <f t="array" aca="1" ref="X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7" s="1" t="str" cm="1">
        <f t="array" aca="1" ref="Y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7" s="1" t="str" cm="1">
        <f t="array" aca="1" ref="Z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7" s="1" t="str" cm="1">
        <f t="array" aca="1" ref="AA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7" s="1" t="str" cm="1">
        <f t="array" aca="1" ref="AB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7" s="1" t="str" cm="1">
        <f t="array" aca="1" ref="AC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7" s="1" t="str" cm="1">
        <f t="array" aca="1" ref="AD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7" s="1" t="str" cm="1">
        <f t="array" aca="1" ref="AE17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8" spans="1:31">
      <c r="A178" s="1" t="str" cm="1">
        <f t="array" aca="1" ref="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8" s="1" t="str" cm="1">
        <f t="array" aca="1" ref="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8" s="1" t="str" cm="1">
        <f t="array" aca="1" ref="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8" s="1" t="str" cm="1">
        <f t="array" aca="1" ref="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8" s="1" t="str" cm="1">
        <f t="array" aca="1" ref="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8" s="1" t="str" cm="1">
        <f t="array" aca="1" ref="F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8" s="1" t="str" cm="1">
        <f t="array" aca="1" ref="G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8" s="1" t="str" cm="1">
        <f t="array" aca="1" ref="H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8" s="1" t="str" cm="1">
        <f t="array" aca="1" ref="I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8" s="1" t="str" cm="1">
        <f t="array" aca="1" ref="J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8" s="1" t="str" cm="1">
        <f t="array" aca="1" ref="K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8" s="1" t="str" cm="1">
        <f t="array" aca="1" ref="L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8" s="1" t="str" cm="1">
        <f t="array" aca="1" ref="M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8" s="1" t="str" cm="1">
        <f t="array" aca="1" ref="N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8" s="1" t="str" cm="1">
        <f t="array" aca="1" ref="O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8" s="1" t="str" cm="1">
        <f t="array" aca="1" ref="P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8" s="1" t="str" cm="1">
        <f t="array" aca="1" ref="Q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8" s="1" t="str" cm="1">
        <f t="array" aca="1" ref="R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8" s="1" t="str" cm="1">
        <f t="array" aca="1" ref="S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8" s="1" t="str" cm="1">
        <f t="array" aca="1" ref="T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8" s="1" t="str" cm="1">
        <f t="array" aca="1" ref="U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8" s="1" t="str" cm="1">
        <f t="array" aca="1" ref="V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8" s="1" t="str" cm="1">
        <f t="array" aca="1" ref="W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8" s="1" t="str" cm="1">
        <f t="array" aca="1" ref="X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8" s="1" t="str" cm="1">
        <f t="array" aca="1" ref="Y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8" s="1" t="str" cm="1">
        <f t="array" aca="1" ref="Z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8" s="1" t="str" cm="1">
        <f t="array" aca="1" ref="AA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8" s="1" t="str" cm="1">
        <f t="array" aca="1" ref="AB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8" s="1" t="str" cm="1">
        <f t="array" aca="1" ref="AC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8" s="1" t="str" cm="1">
        <f t="array" aca="1" ref="AD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8" s="1" t="str" cm="1">
        <f t="array" aca="1" ref="AE17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79" spans="1:31">
      <c r="A179" s="1" t="str" cm="1">
        <f t="array" aca="1" ref="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79" s="1" t="str" cm="1">
        <f t="array" aca="1" ref="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79" s="1" t="str" cm="1">
        <f t="array" aca="1" ref="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79" s="1" t="str" cm="1">
        <f t="array" aca="1" ref="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79" s="1" t="str" cm="1">
        <f t="array" aca="1" ref="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79" s="1" t="str" cm="1">
        <f t="array" aca="1" ref="F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79" s="1" t="str" cm="1">
        <f t="array" aca="1" ref="G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79" s="1" t="str" cm="1">
        <f t="array" aca="1" ref="H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79" s="1" t="str" cm="1">
        <f t="array" aca="1" ref="I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79" s="1" t="str" cm="1">
        <f t="array" aca="1" ref="J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79" s="1" t="str" cm="1">
        <f t="array" aca="1" ref="K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79" s="1" t="str" cm="1">
        <f t="array" aca="1" ref="L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79" s="1" t="str" cm="1">
        <f t="array" aca="1" ref="M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79" s="1" t="str" cm="1">
        <f t="array" aca="1" ref="N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79" s="1" t="str" cm="1">
        <f t="array" aca="1" ref="O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79" s="1" t="str" cm="1">
        <f t="array" aca="1" ref="P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79" s="1" t="str" cm="1">
        <f t="array" aca="1" ref="Q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79" s="1" t="str" cm="1">
        <f t="array" aca="1" ref="R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79" s="1" t="str" cm="1">
        <f t="array" aca="1" ref="S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79" s="1" t="str" cm="1">
        <f t="array" aca="1" ref="T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79" s="1" t="str" cm="1">
        <f t="array" aca="1" ref="U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79" s="1" t="str" cm="1">
        <f t="array" aca="1" ref="V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79" s="1" t="str" cm="1">
        <f t="array" aca="1" ref="W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79" s="1" t="str" cm="1">
        <f t="array" aca="1" ref="X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79" s="1" t="str" cm="1">
        <f t="array" aca="1" ref="Y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79" s="1" t="str" cm="1">
        <f t="array" aca="1" ref="Z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79" s="1" t="str" cm="1">
        <f t="array" aca="1" ref="AA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79" s="1" t="str" cm="1">
        <f t="array" aca="1" ref="AB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79" s="1" t="str" cm="1">
        <f t="array" aca="1" ref="AC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79" s="1" t="str" cm="1">
        <f t="array" aca="1" ref="AD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79" s="1" t="str" cm="1">
        <f t="array" aca="1" ref="AE17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0" spans="1:31">
      <c r="A180" s="1" t="str" cm="1">
        <f t="array" aca="1" ref="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0" s="1" t="str" cm="1">
        <f t="array" aca="1" ref="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0" s="1" t="str" cm="1">
        <f t="array" aca="1" ref="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0" s="1" t="str" cm="1">
        <f t="array" aca="1" ref="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0" s="1" t="str" cm="1">
        <f t="array" aca="1" ref="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0" s="1" t="str" cm="1">
        <f t="array" aca="1" ref="F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0" s="1" t="str" cm="1">
        <f t="array" aca="1" ref="G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0" s="1" t="str" cm="1">
        <f t="array" aca="1" ref="H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0" s="1" t="str" cm="1">
        <f t="array" aca="1" ref="I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0" s="1" t="str" cm="1">
        <f t="array" aca="1" ref="J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0" s="1" t="str" cm="1">
        <f t="array" aca="1" ref="K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0" s="1" t="str" cm="1">
        <f t="array" aca="1" ref="L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0" s="1" t="str" cm="1">
        <f t="array" aca="1" ref="M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0" s="1" t="str" cm="1">
        <f t="array" aca="1" ref="N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0" s="1" t="str" cm="1">
        <f t="array" aca="1" ref="O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0" s="1" t="str" cm="1">
        <f t="array" aca="1" ref="P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0" s="1" t="str" cm="1">
        <f t="array" aca="1" ref="Q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0" s="1" t="str" cm="1">
        <f t="array" aca="1" ref="R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0" s="1" t="str" cm="1">
        <f t="array" aca="1" ref="S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0" s="1" t="str" cm="1">
        <f t="array" aca="1" ref="T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0" s="1" t="str" cm="1">
        <f t="array" aca="1" ref="U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0" s="1" t="str" cm="1">
        <f t="array" aca="1" ref="V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0" s="1" t="str" cm="1">
        <f t="array" aca="1" ref="W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0" s="1" t="str" cm="1">
        <f t="array" aca="1" ref="X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0" s="1" t="str" cm="1">
        <f t="array" aca="1" ref="Y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0" s="1" t="str" cm="1">
        <f t="array" aca="1" ref="Z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0" s="1" t="str" cm="1">
        <f t="array" aca="1" ref="AA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0" s="1" t="str" cm="1">
        <f t="array" aca="1" ref="AB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0" s="1" t="str" cm="1">
        <f t="array" aca="1" ref="AC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0" s="1" t="str" cm="1">
        <f t="array" aca="1" ref="AD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0" s="1" t="str" cm="1">
        <f t="array" aca="1" ref="AE18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1" spans="1:31">
      <c r="A181" s="1" t="str" cm="1">
        <f t="array" aca="1" ref="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1" s="1" t="str" cm="1">
        <f t="array" aca="1" ref="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1" s="1" t="str" cm="1">
        <f t="array" aca="1" ref="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1" s="1" t="str" cm="1">
        <f t="array" aca="1" ref="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1" s="1" t="str" cm="1">
        <f t="array" aca="1" ref="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1" s="1" t="str" cm="1">
        <f t="array" aca="1" ref="F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1" s="1" t="str" cm="1">
        <f t="array" aca="1" ref="G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1" s="1" t="str" cm="1">
        <f t="array" aca="1" ref="H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1" s="1" t="str" cm="1">
        <f t="array" aca="1" ref="I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1" s="1" t="str" cm="1">
        <f t="array" aca="1" ref="J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1" s="1" t="str" cm="1">
        <f t="array" aca="1" ref="K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1" s="1" t="str" cm="1">
        <f t="array" aca="1" ref="L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1" s="1" t="str" cm="1">
        <f t="array" aca="1" ref="M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1" s="1" t="str" cm="1">
        <f t="array" aca="1" ref="N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1" s="1" t="str" cm="1">
        <f t="array" aca="1" ref="O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1" s="1" t="str" cm="1">
        <f t="array" aca="1" ref="P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1" s="1" t="str" cm="1">
        <f t="array" aca="1" ref="Q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1" s="1" t="str" cm="1">
        <f t="array" aca="1" ref="R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1" s="1" t="str" cm="1">
        <f t="array" aca="1" ref="S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1" s="1" t="str" cm="1">
        <f t="array" aca="1" ref="T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1" s="1" t="str" cm="1">
        <f t="array" aca="1" ref="U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1" s="1" t="str" cm="1">
        <f t="array" aca="1" ref="V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1" s="1" t="str" cm="1">
        <f t="array" aca="1" ref="W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1" s="1" t="str" cm="1">
        <f t="array" aca="1" ref="X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1" s="1" t="str" cm="1">
        <f t="array" aca="1" ref="Y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1" s="1" t="str" cm="1">
        <f t="array" aca="1" ref="Z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1" s="1" t="str" cm="1">
        <f t="array" aca="1" ref="AA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1" s="1" t="str" cm="1">
        <f t="array" aca="1" ref="AB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1" s="1" t="str" cm="1">
        <f t="array" aca="1" ref="AC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1" s="1" t="str" cm="1">
        <f t="array" aca="1" ref="AD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1" s="1" t="str" cm="1">
        <f t="array" aca="1" ref="AE18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2" spans="1:31">
      <c r="A182" s="1" t="str" cm="1">
        <f t="array" aca="1" ref="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2" s="1" t="str" cm="1">
        <f t="array" aca="1" ref="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2" s="1" t="str" cm="1">
        <f t="array" aca="1" ref="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2" s="1" t="str" cm="1">
        <f t="array" aca="1" ref="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2" s="1" t="str" cm="1">
        <f t="array" aca="1" ref="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2" s="1" t="str" cm="1">
        <f t="array" aca="1" ref="F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2" s="1" t="str" cm="1">
        <f t="array" aca="1" ref="G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2" s="1" t="str" cm="1">
        <f t="array" aca="1" ref="H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2" s="1" t="str" cm="1">
        <f t="array" aca="1" ref="I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2" s="1" t="str" cm="1">
        <f t="array" aca="1" ref="J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2" s="1" t="str" cm="1">
        <f t="array" aca="1" ref="K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2" s="1" t="str" cm="1">
        <f t="array" aca="1" ref="L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2" s="1" t="str" cm="1">
        <f t="array" aca="1" ref="M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2" s="1" t="str" cm="1">
        <f t="array" aca="1" ref="N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2" s="1" t="str" cm="1">
        <f t="array" aca="1" ref="O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2" s="1" t="str" cm="1">
        <f t="array" aca="1" ref="P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2" s="1" t="str" cm="1">
        <f t="array" aca="1" ref="Q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2" s="1" t="str" cm="1">
        <f t="array" aca="1" ref="R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2" s="1" t="str" cm="1">
        <f t="array" aca="1" ref="S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2" s="1" t="str" cm="1">
        <f t="array" aca="1" ref="T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2" s="1" t="str" cm="1">
        <f t="array" aca="1" ref="U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2" s="1" t="str" cm="1">
        <f t="array" aca="1" ref="V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2" s="1" t="str" cm="1">
        <f t="array" aca="1" ref="W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2" s="1" t="str" cm="1">
        <f t="array" aca="1" ref="X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2" s="1" t="str" cm="1">
        <f t="array" aca="1" ref="Y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2" s="1" t="str" cm="1">
        <f t="array" aca="1" ref="Z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2" s="1" t="str" cm="1">
        <f t="array" aca="1" ref="AA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2" s="1" t="str" cm="1">
        <f t="array" aca="1" ref="AB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2" s="1" t="str" cm="1">
        <f t="array" aca="1" ref="AC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2" s="1" t="str" cm="1">
        <f t="array" aca="1" ref="AD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2" s="1" t="str" cm="1">
        <f t="array" aca="1" ref="AE18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3" spans="1:31">
      <c r="A183" s="1" t="str" cm="1">
        <f t="array" aca="1" ref="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3" s="1" t="str" cm="1">
        <f t="array" aca="1" ref="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3" s="1" t="str" cm="1">
        <f t="array" aca="1" ref="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3" s="1" t="str" cm="1">
        <f t="array" aca="1" ref="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3" s="1" t="str" cm="1">
        <f t="array" aca="1" ref="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3" s="1" t="str" cm="1">
        <f t="array" aca="1" ref="F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3" s="1" t="str" cm="1">
        <f t="array" aca="1" ref="G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3" s="1" t="str" cm="1">
        <f t="array" aca="1" ref="H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3" s="1" t="str" cm="1">
        <f t="array" aca="1" ref="I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3" s="1" t="str" cm="1">
        <f t="array" aca="1" ref="J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3" s="1" t="str" cm="1">
        <f t="array" aca="1" ref="K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3" s="1" t="str" cm="1">
        <f t="array" aca="1" ref="L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3" s="1" t="str" cm="1">
        <f t="array" aca="1" ref="M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3" s="1" t="str" cm="1">
        <f t="array" aca="1" ref="N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3" s="1" t="str" cm="1">
        <f t="array" aca="1" ref="O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3" s="1" t="str" cm="1">
        <f t="array" aca="1" ref="P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3" s="1" t="str" cm="1">
        <f t="array" aca="1" ref="Q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3" s="1" t="str" cm="1">
        <f t="array" aca="1" ref="R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3" s="1" t="str" cm="1">
        <f t="array" aca="1" ref="S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3" s="1" t="str" cm="1">
        <f t="array" aca="1" ref="T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3" s="1" t="str" cm="1">
        <f t="array" aca="1" ref="U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3" s="1" t="str" cm="1">
        <f t="array" aca="1" ref="V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3" s="1" t="str" cm="1">
        <f t="array" aca="1" ref="W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3" s="1" t="str" cm="1">
        <f t="array" aca="1" ref="X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3" s="1" t="str" cm="1">
        <f t="array" aca="1" ref="Y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3" s="1" t="str" cm="1">
        <f t="array" aca="1" ref="Z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3" s="1" t="str" cm="1">
        <f t="array" aca="1" ref="AA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3" s="1" t="str" cm="1">
        <f t="array" aca="1" ref="AB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3" s="1" t="str" cm="1">
        <f t="array" aca="1" ref="AC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3" s="1" t="str" cm="1">
        <f t="array" aca="1" ref="AD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3" s="1" t="str" cm="1">
        <f t="array" aca="1" ref="AE18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4" spans="1:31">
      <c r="A184" s="1" t="str" cm="1">
        <f t="array" aca="1" ref="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4" s="1" t="str" cm="1">
        <f t="array" aca="1" ref="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4" s="1" t="str" cm="1">
        <f t="array" aca="1" ref="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4" s="1" t="str" cm="1">
        <f t="array" aca="1" ref="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4" s="1" t="str" cm="1">
        <f t="array" aca="1" ref="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4" s="1" t="str" cm="1">
        <f t="array" aca="1" ref="F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4" s="1" t="str" cm="1">
        <f t="array" aca="1" ref="G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4" s="1" t="str" cm="1">
        <f t="array" aca="1" ref="H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4" s="1" t="str" cm="1">
        <f t="array" aca="1" ref="I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4" s="1" t="str" cm="1">
        <f t="array" aca="1" ref="J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4" s="1" t="str" cm="1">
        <f t="array" aca="1" ref="K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4" s="1" t="str" cm="1">
        <f t="array" aca="1" ref="L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4" s="1" t="str" cm="1">
        <f t="array" aca="1" ref="M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4" s="1" t="str" cm="1">
        <f t="array" aca="1" ref="N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4" s="1" t="str" cm="1">
        <f t="array" aca="1" ref="O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4" s="1" t="str" cm="1">
        <f t="array" aca="1" ref="P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4" s="1" t="str" cm="1">
        <f t="array" aca="1" ref="Q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4" s="1" t="str" cm="1">
        <f t="array" aca="1" ref="R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4" s="1" t="str" cm="1">
        <f t="array" aca="1" ref="S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4" s="1" t="str" cm="1">
        <f t="array" aca="1" ref="T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4" s="1" t="str" cm="1">
        <f t="array" aca="1" ref="U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4" s="1" t="str" cm="1">
        <f t="array" aca="1" ref="V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4" s="1" t="str" cm="1">
        <f t="array" aca="1" ref="W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4" s="1" t="str" cm="1">
        <f t="array" aca="1" ref="X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4" s="1" t="str" cm="1">
        <f t="array" aca="1" ref="Y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4" s="1" t="str" cm="1">
        <f t="array" aca="1" ref="Z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4" s="1" t="str" cm="1">
        <f t="array" aca="1" ref="AA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4" s="1" t="str" cm="1">
        <f t="array" aca="1" ref="AB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4" s="1" t="str" cm="1">
        <f t="array" aca="1" ref="AC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4" s="1" t="str" cm="1">
        <f t="array" aca="1" ref="AD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4" s="1" t="str" cm="1">
        <f t="array" aca="1" ref="AE18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5" spans="1:31">
      <c r="A185" s="1" t="str" cm="1">
        <f t="array" aca="1" ref="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5" s="1" t="str" cm="1">
        <f t="array" aca="1" ref="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5" s="1" t="str" cm="1">
        <f t="array" aca="1" ref="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5" s="1" t="str" cm="1">
        <f t="array" aca="1" ref="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5" s="1" t="str" cm="1">
        <f t="array" aca="1" ref="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5" s="1" t="str" cm="1">
        <f t="array" aca="1" ref="F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5" s="1" t="str" cm="1">
        <f t="array" aca="1" ref="G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5" s="1" t="str" cm="1">
        <f t="array" aca="1" ref="H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5" s="1" t="str" cm="1">
        <f t="array" aca="1" ref="I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5" s="1" t="str" cm="1">
        <f t="array" aca="1" ref="J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5" s="1" t="str" cm="1">
        <f t="array" aca="1" ref="K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5" s="1" t="str" cm="1">
        <f t="array" aca="1" ref="L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5" s="1" t="str" cm="1">
        <f t="array" aca="1" ref="M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5" s="1" t="str" cm="1">
        <f t="array" aca="1" ref="N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5" s="1" t="str" cm="1">
        <f t="array" aca="1" ref="O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5" s="1" t="str" cm="1">
        <f t="array" aca="1" ref="P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5" s="1" t="str" cm="1">
        <f t="array" aca="1" ref="Q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5" s="1" t="str" cm="1">
        <f t="array" aca="1" ref="R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5" s="1" t="str" cm="1">
        <f t="array" aca="1" ref="S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5" s="1" t="str" cm="1">
        <f t="array" aca="1" ref="T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5" s="1" t="str" cm="1">
        <f t="array" aca="1" ref="U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5" s="1" t="str" cm="1">
        <f t="array" aca="1" ref="V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5" s="1" t="str" cm="1">
        <f t="array" aca="1" ref="W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5" s="1" t="str" cm="1">
        <f t="array" aca="1" ref="X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5" s="1" t="str" cm="1">
        <f t="array" aca="1" ref="Y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5" s="1" t="str" cm="1">
        <f t="array" aca="1" ref="Z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5" s="1" t="str" cm="1">
        <f t="array" aca="1" ref="AA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5" s="1" t="str" cm="1">
        <f t="array" aca="1" ref="AB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5" s="1" t="str" cm="1">
        <f t="array" aca="1" ref="AC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5" s="1" t="str" cm="1">
        <f t="array" aca="1" ref="AD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5" s="1" t="str" cm="1">
        <f t="array" aca="1" ref="AE18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6" spans="1:31">
      <c r="A186" s="1" t="str" cm="1">
        <f t="array" aca="1" ref="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6" s="1" t="str" cm="1">
        <f t="array" aca="1" ref="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6" s="1" t="str" cm="1">
        <f t="array" aca="1" ref="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6" s="1" t="str" cm="1">
        <f t="array" aca="1" ref="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6" s="1" t="str" cm="1">
        <f t="array" aca="1" ref="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6" s="1" t="str" cm="1">
        <f t="array" aca="1" ref="F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6" s="1" t="str" cm="1">
        <f t="array" aca="1" ref="G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6" s="1" t="str" cm="1">
        <f t="array" aca="1" ref="H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6" s="1" t="str" cm="1">
        <f t="array" aca="1" ref="I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6" s="1" t="str" cm="1">
        <f t="array" aca="1" ref="J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6" s="1" t="str" cm="1">
        <f t="array" aca="1" ref="K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6" s="1" t="str" cm="1">
        <f t="array" aca="1" ref="L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6" s="1" t="str" cm="1">
        <f t="array" aca="1" ref="M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6" s="1" t="str" cm="1">
        <f t="array" aca="1" ref="N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6" s="1" t="str" cm="1">
        <f t="array" aca="1" ref="O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6" s="1" t="str" cm="1">
        <f t="array" aca="1" ref="P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6" s="1" t="str" cm="1">
        <f t="array" aca="1" ref="Q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6" s="1" t="str" cm="1">
        <f t="array" aca="1" ref="R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6" s="1" t="str" cm="1">
        <f t="array" aca="1" ref="S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6" s="1" t="str" cm="1">
        <f t="array" aca="1" ref="T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6" s="1" t="str" cm="1">
        <f t="array" aca="1" ref="U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6" s="1" t="str" cm="1">
        <f t="array" aca="1" ref="V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6" s="1" t="str" cm="1">
        <f t="array" aca="1" ref="W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6" s="1" t="str" cm="1">
        <f t="array" aca="1" ref="X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6" s="1" t="str" cm="1">
        <f t="array" aca="1" ref="Y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6" s="1" t="str" cm="1">
        <f t="array" aca="1" ref="Z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6" s="1" t="str" cm="1">
        <f t="array" aca="1" ref="AA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6" s="1" t="str" cm="1">
        <f t="array" aca="1" ref="AB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6" s="1" t="str" cm="1">
        <f t="array" aca="1" ref="AC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6" s="1" t="str" cm="1">
        <f t="array" aca="1" ref="AD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6" s="1" t="str" cm="1">
        <f t="array" aca="1" ref="AE18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7" spans="1:31">
      <c r="A187" s="1" t="str" cm="1">
        <f t="array" aca="1" ref="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7" s="1" t="str" cm="1">
        <f t="array" aca="1" ref="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7" s="1" t="str" cm="1">
        <f t="array" aca="1" ref="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7" s="1" t="str" cm="1">
        <f t="array" aca="1" ref="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7" s="1" t="str" cm="1">
        <f t="array" aca="1" ref="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7" s="1" t="str" cm="1">
        <f t="array" aca="1" ref="F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7" s="1" t="str" cm="1">
        <f t="array" aca="1" ref="G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7" s="1" t="str" cm="1">
        <f t="array" aca="1" ref="H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7" s="1" t="str" cm="1">
        <f t="array" aca="1" ref="I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7" s="1" t="str" cm="1">
        <f t="array" aca="1" ref="J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7" s="1" t="str" cm="1">
        <f t="array" aca="1" ref="K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7" s="1" t="str" cm="1">
        <f t="array" aca="1" ref="L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7" s="1" t="str" cm="1">
        <f t="array" aca="1" ref="M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7" s="1" t="str" cm="1">
        <f t="array" aca="1" ref="N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7" s="1" t="str" cm="1">
        <f t="array" aca="1" ref="O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7" s="1" t="str" cm="1">
        <f t="array" aca="1" ref="P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7" s="1" t="str" cm="1">
        <f t="array" aca="1" ref="Q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7" s="1" t="str" cm="1">
        <f t="array" aca="1" ref="R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7" s="1" t="str" cm="1">
        <f t="array" aca="1" ref="S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7" s="1" t="str" cm="1">
        <f t="array" aca="1" ref="T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7" s="1" t="str" cm="1">
        <f t="array" aca="1" ref="U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7" s="1" t="str" cm="1">
        <f t="array" aca="1" ref="V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7" s="1" t="str" cm="1">
        <f t="array" aca="1" ref="W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7" s="1" t="str" cm="1">
        <f t="array" aca="1" ref="X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7" s="1" t="str" cm="1">
        <f t="array" aca="1" ref="Y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7" s="1" t="str" cm="1">
        <f t="array" aca="1" ref="Z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7" s="1" t="str" cm="1">
        <f t="array" aca="1" ref="AA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7" s="1" t="str" cm="1">
        <f t="array" aca="1" ref="AB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7" s="1" t="str" cm="1">
        <f t="array" aca="1" ref="AC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7" s="1" t="str" cm="1">
        <f t="array" aca="1" ref="AD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7" s="1" t="str" cm="1">
        <f t="array" aca="1" ref="AE18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8" spans="1:31">
      <c r="A188" s="1" t="str" cm="1">
        <f t="array" aca="1" ref="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8" s="1" t="str" cm="1">
        <f t="array" aca="1" ref="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8" s="1" t="str" cm="1">
        <f t="array" aca="1" ref="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8" s="1" t="str" cm="1">
        <f t="array" aca="1" ref="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8" s="1" t="str" cm="1">
        <f t="array" aca="1" ref="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8" s="1" t="str" cm="1">
        <f t="array" aca="1" ref="F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8" s="1" t="str" cm="1">
        <f t="array" aca="1" ref="G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8" s="1" t="str" cm="1">
        <f t="array" aca="1" ref="H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8" s="1" t="str" cm="1">
        <f t="array" aca="1" ref="I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8" s="1" t="str" cm="1">
        <f t="array" aca="1" ref="J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8" s="1" t="str" cm="1">
        <f t="array" aca="1" ref="K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8" s="1" t="str" cm="1">
        <f t="array" aca="1" ref="L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8" s="1" t="str" cm="1">
        <f t="array" aca="1" ref="M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8" s="1" t="str" cm="1">
        <f t="array" aca="1" ref="N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8" s="1" t="str" cm="1">
        <f t="array" aca="1" ref="O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8" s="1" t="str" cm="1">
        <f t="array" aca="1" ref="P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8" s="1" t="str" cm="1">
        <f t="array" aca="1" ref="Q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8" s="1" t="str" cm="1">
        <f t="array" aca="1" ref="R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8" s="1" t="str" cm="1">
        <f t="array" aca="1" ref="S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8" s="1" t="str" cm="1">
        <f t="array" aca="1" ref="T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8" s="1" t="str" cm="1">
        <f t="array" aca="1" ref="U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8" s="1" t="str" cm="1">
        <f t="array" aca="1" ref="V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8" s="1" t="str" cm="1">
        <f t="array" aca="1" ref="W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8" s="1" t="str" cm="1">
        <f t="array" aca="1" ref="X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8" s="1" t="str" cm="1">
        <f t="array" aca="1" ref="Y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8" s="1" t="str" cm="1">
        <f t="array" aca="1" ref="Z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8" s="1" t="str" cm="1">
        <f t="array" aca="1" ref="AA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8" s="1" t="str" cm="1">
        <f t="array" aca="1" ref="AB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8" s="1" t="str" cm="1">
        <f t="array" aca="1" ref="AC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8" s="1" t="str" cm="1">
        <f t="array" aca="1" ref="AD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8" s="1" t="str" cm="1">
        <f t="array" aca="1" ref="AE18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89" spans="1:31">
      <c r="A189" s="1" t="str" cm="1">
        <f t="array" aca="1" ref="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89" s="1" t="str" cm="1">
        <f t="array" aca="1" ref="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89" s="1" t="str" cm="1">
        <f t="array" aca="1" ref="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89" s="1" t="str" cm="1">
        <f t="array" aca="1" ref="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89" s="1" t="str" cm="1">
        <f t="array" aca="1" ref="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89" s="1" t="str" cm="1">
        <f t="array" aca="1" ref="F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89" s="1" t="str" cm="1">
        <f t="array" aca="1" ref="G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89" s="1" t="str" cm="1">
        <f t="array" aca="1" ref="H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89" s="1" t="str" cm="1">
        <f t="array" aca="1" ref="I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89" s="1" t="str" cm="1">
        <f t="array" aca="1" ref="J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89" s="1" t="str" cm="1">
        <f t="array" aca="1" ref="K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89" s="1" t="str" cm="1">
        <f t="array" aca="1" ref="L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89" s="1" t="str" cm="1">
        <f t="array" aca="1" ref="M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89" s="1" t="str" cm="1">
        <f t="array" aca="1" ref="N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89" s="1" t="str" cm="1">
        <f t="array" aca="1" ref="O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89" s="1" t="str" cm="1">
        <f t="array" aca="1" ref="P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89" s="1" t="str" cm="1">
        <f t="array" aca="1" ref="Q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89" s="1" t="str" cm="1">
        <f t="array" aca="1" ref="R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89" s="1" t="str" cm="1">
        <f t="array" aca="1" ref="S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89" s="1" t="str" cm="1">
        <f t="array" aca="1" ref="T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89" s="1" t="str" cm="1">
        <f t="array" aca="1" ref="U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89" s="1" t="str" cm="1">
        <f t="array" aca="1" ref="V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89" s="1" t="str" cm="1">
        <f t="array" aca="1" ref="W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89" s="1" t="str" cm="1">
        <f t="array" aca="1" ref="X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89" s="1" t="str" cm="1">
        <f t="array" aca="1" ref="Y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89" s="1" t="str" cm="1">
        <f t="array" aca="1" ref="Z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89" s="1" t="str" cm="1">
        <f t="array" aca="1" ref="AA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89" s="1" t="str" cm="1">
        <f t="array" aca="1" ref="AB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89" s="1" t="str" cm="1">
        <f t="array" aca="1" ref="AC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89" s="1" t="str" cm="1">
        <f t="array" aca="1" ref="AD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89" s="1" t="str" cm="1">
        <f t="array" aca="1" ref="AE18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0" spans="1:31">
      <c r="A190" s="1" t="str" cm="1">
        <f t="array" aca="1" ref="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0" s="1" t="str" cm="1">
        <f t="array" aca="1" ref="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0" s="1" t="str" cm="1">
        <f t="array" aca="1" ref="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0" s="1" t="str" cm="1">
        <f t="array" aca="1" ref="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0" s="1" t="str" cm="1">
        <f t="array" aca="1" ref="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0" s="1" t="str" cm="1">
        <f t="array" aca="1" ref="F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0" s="1" t="str" cm="1">
        <f t="array" aca="1" ref="G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0" s="1" t="str" cm="1">
        <f t="array" aca="1" ref="H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0" s="1" t="str" cm="1">
        <f t="array" aca="1" ref="I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0" s="1" t="str" cm="1">
        <f t="array" aca="1" ref="J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0" s="1" t="str" cm="1">
        <f t="array" aca="1" ref="K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0" s="1" t="str" cm="1">
        <f t="array" aca="1" ref="L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0" s="1" t="str" cm="1">
        <f t="array" aca="1" ref="M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0" s="1" t="str" cm="1">
        <f t="array" aca="1" ref="N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0" s="1" t="str" cm="1">
        <f t="array" aca="1" ref="O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0" s="1" t="str" cm="1">
        <f t="array" aca="1" ref="P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0" s="1" t="str" cm="1">
        <f t="array" aca="1" ref="Q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0" s="1" t="str" cm="1">
        <f t="array" aca="1" ref="R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0" s="1" t="str" cm="1">
        <f t="array" aca="1" ref="S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0" s="1" t="str" cm="1">
        <f t="array" aca="1" ref="T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0" s="1" t="str" cm="1">
        <f t="array" aca="1" ref="U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0" s="1" t="str" cm="1">
        <f t="array" aca="1" ref="V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0" s="1" t="str" cm="1">
        <f t="array" aca="1" ref="W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0" s="1" t="str" cm="1">
        <f t="array" aca="1" ref="X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0" s="1" t="str" cm="1">
        <f t="array" aca="1" ref="Y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0" s="1" t="str" cm="1">
        <f t="array" aca="1" ref="Z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0" s="1" t="str" cm="1">
        <f t="array" aca="1" ref="AA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0" s="1" t="str" cm="1">
        <f t="array" aca="1" ref="AB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0" s="1" t="str" cm="1">
        <f t="array" aca="1" ref="AC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0" s="1" t="str" cm="1">
        <f t="array" aca="1" ref="AD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0" s="1" t="str" cm="1">
        <f t="array" aca="1" ref="AE19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1" spans="1:31">
      <c r="A191" s="1" t="str" cm="1">
        <f t="array" aca="1" ref="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1" s="1" t="str" cm="1">
        <f t="array" aca="1" ref="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1" s="1" t="str" cm="1">
        <f t="array" aca="1" ref="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1" s="1" t="str" cm="1">
        <f t="array" aca="1" ref="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1" s="1" t="str" cm="1">
        <f t="array" aca="1" ref="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1" s="1" t="str" cm="1">
        <f t="array" aca="1" ref="F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1" s="1" t="str" cm="1">
        <f t="array" aca="1" ref="G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1" s="1" t="str" cm="1">
        <f t="array" aca="1" ref="H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1" s="1" t="str" cm="1">
        <f t="array" aca="1" ref="I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1" s="1" t="str" cm="1">
        <f t="array" aca="1" ref="J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1" s="1" t="str" cm="1">
        <f t="array" aca="1" ref="K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1" s="1" t="str" cm="1">
        <f t="array" aca="1" ref="L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1" s="1" t="str" cm="1">
        <f t="array" aca="1" ref="M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1" s="1" t="str" cm="1">
        <f t="array" aca="1" ref="N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1" s="1" t="str" cm="1">
        <f t="array" aca="1" ref="O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1" s="1" t="str" cm="1">
        <f t="array" aca="1" ref="P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1" s="1" t="str" cm="1">
        <f t="array" aca="1" ref="Q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1" s="1" t="str" cm="1">
        <f t="array" aca="1" ref="R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1" s="1" t="str" cm="1">
        <f t="array" aca="1" ref="S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1" s="1" t="str" cm="1">
        <f t="array" aca="1" ref="T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1" s="1" t="str" cm="1">
        <f t="array" aca="1" ref="U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1" s="1" t="str" cm="1">
        <f t="array" aca="1" ref="V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1" s="1" t="str" cm="1">
        <f t="array" aca="1" ref="W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1" s="1" t="str" cm="1">
        <f t="array" aca="1" ref="X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1" s="1" t="str" cm="1">
        <f t="array" aca="1" ref="Y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1" s="1" t="str" cm="1">
        <f t="array" aca="1" ref="Z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1" s="1" t="str" cm="1">
        <f t="array" aca="1" ref="AA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1" s="1" t="str" cm="1">
        <f t="array" aca="1" ref="AB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1" s="1" t="str" cm="1">
        <f t="array" aca="1" ref="AC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1" s="1" t="str" cm="1">
        <f t="array" aca="1" ref="AD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1" s="1" t="str" cm="1">
        <f t="array" aca="1" ref="AE19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2" spans="1:31">
      <c r="A192" s="1" t="str" cm="1">
        <f t="array" aca="1" ref="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2" s="1" t="str" cm="1">
        <f t="array" aca="1" ref="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2" s="1" t="str" cm="1">
        <f t="array" aca="1" ref="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2" s="1" t="str" cm="1">
        <f t="array" aca="1" ref="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2" s="1" t="str" cm="1">
        <f t="array" aca="1" ref="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2" s="1" t="str" cm="1">
        <f t="array" aca="1" ref="F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2" s="1" t="str" cm="1">
        <f t="array" aca="1" ref="G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2" s="1" t="str" cm="1">
        <f t="array" aca="1" ref="H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2" s="1" t="str" cm="1">
        <f t="array" aca="1" ref="I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2" s="1" t="str" cm="1">
        <f t="array" aca="1" ref="J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2" s="1" t="str" cm="1">
        <f t="array" aca="1" ref="K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2" s="1" t="str" cm="1">
        <f t="array" aca="1" ref="L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2" s="1" t="str" cm="1">
        <f t="array" aca="1" ref="M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2" s="1" t="str" cm="1">
        <f t="array" aca="1" ref="N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2" s="1" t="str" cm="1">
        <f t="array" aca="1" ref="O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2" s="1" t="str" cm="1">
        <f t="array" aca="1" ref="P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2" s="1" t="str" cm="1">
        <f t="array" aca="1" ref="Q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2" s="1" t="str" cm="1">
        <f t="array" aca="1" ref="R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2" s="1" t="str" cm="1">
        <f t="array" aca="1" ref="S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2" s="1" t="str" cm="1">
        <f t="array" aca="1" ref="T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2" s="1" t="str" cm="1">
        <f t="array" aca="1" ref="U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2" s="1" t="str" cm="1">
        <f t="array" aca="1" ref="V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2" s="1" t="str" cm="1">
        <f t="array" aca="1" ref="W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2" s="1" t="str" cm="1">
        <f t="array" aca="1" ref="X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2" s="1" t="str" cm="1">
        <f t="array" aca="1" ref="Y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2" s="1" t="str" cm="1">
        <f t="array" aca="1" ref="Z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2" s="1" t="str" cm="1">
        <f t="array" aca="1" ref="AA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2" s="1" t="str" cm="1">
        <f t="array" aca="1" ref="AB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2" s="1" t="str" cm="1">
        <f t="array" aca="1" ref="AC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2" s="1" t="str" cm="1">
        <f t="array" aca="1" ref="AD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2" s="1" t="str" cm="1">
        <f t="array" aca="1" ref="AE19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3" spans="1:31">
      <c r="A193" s="1" t="str" cm="1">
        <f t="array" aca="1" ref="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3" s="1" t="str" cm="1">
        <f t="array" aca="1" ref="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3" s="1" t="str" cm="1">
        <f t="array" aca="1" ref="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3" s="1" t="str" cm="1">
        <f t="array" aca="1" ref="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3" s="1" t="str" cm="1">
        <f t="array" aca="1" ref="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3" s="1" t="str" cm="1">
        <f t="array" aca="1" ref="F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3" s="1" t="str" cm="1">
        <f t="array" aca="1" ref="G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3" s="1" t="str" cm="1">
        <f t="array" aca="1" ref="H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3" s="1" t="str" cm="1">
        <f t="array" aca="1" ref="I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3" s="1" t="str" cm="1">
        <f t="array" aca="1" ref="J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3" s="1" t="str" cm="1">
        <f t="array" aca="1" ref="K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3" s="1" t="str" cm="1">
        <f t="array" aca="1" ref="L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3" s="1" t="str" cm="1">
        <f t="array" aca="1" ref="M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3" s="1" t="str" cm="1">
        <f t="array" aca="1" ref="N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3" s="1" t="str" cm="1">
        <f t="array" aca="1" ref="O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3" s="1" t="str" cm="1">
        <f t="array" aca="1" ref="P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3" s="1" t="str" cm="1">
        <f t="array" aca="1" ref="Q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3" s="1" t="str" cm="1">
        <f t="array" aca="1" ref="R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3" s="1" t="str" cm="1">
        <f t="array" aca="1" ref="S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3" s="1" t="str" cm="1">
        <f t="array" aca="1" ref="T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3" s="1" t="str" cm="1">
        <f t="array" aca="1" ref="U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3" s="1" t="str" cm="1">
        <f t="array" aca="1" ref="V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3" s="1" t="str" cm="1">
        <f t="array" aca="1" ref="W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3" s="1" t="str" cm="1">
        <f t="array" aca="1" ref="X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3" s="1" t="str" cm="1">
        <f t="array" aca="1" ref="Y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3" s="1" t="str" cm="1">
        <f t="array" aca="1" ref="Z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3" s="1" t="str" cm="1">
        <f t="array" aca="1" ref="AA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3" s="1" t="str" cm="1">
        <f t="array" aca="1" ref="AB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3" s="1" t="str" cm="1">
        <f t="array" aca="1" ref="AC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3" s="1" t="str" cm="1">
        <f t="array" aca="1" ref="AD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3" s="1" t="str" cm="1">
        <f t="array" aca="1" ref="AE19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4" spans="1:31">
      <c r="A194" s="1" t="str" cm="1">
        <f t="array" aca="1" ref="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4" s="1" t="str" cm="1">
        <f t="array" aca="1" ref="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4" s="1" t="str" cm="1">
        <f t="array" aca="1" ref="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4" s="1" t="str" cm="1">
        <f t="array" aca="1" ref="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4" s="1" t="str" cm="1">
        <f t="array" aca="1" ref="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4" s="1" t="str" cm="1">
        <f t="array" aca="1" ref="F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4" s="1" t="str" cm="1">
        <f t="array" aca="1" ref="G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4" s="1" t="str" cm="1">
        <f t="array" aca="1" ref="H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4" s="1" t="str" cm="1">
        <f t="array" aca="1" ref="I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4" s="1" t="str" cm="1">
        <f t="array" aca="1" ref="J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4" s="1" t="str" cm="1">
        <f t="array" aca="1" ref="K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4" s="1" t="str" cm="1">
        <f t="array" aca="1" ref="L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4" s="1" t="str" cm="1">
        <f t="array" aca="1" ref="M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4" s="1" t="str" cm="1">
        <f t="array" aca="1" ref="N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4" s="1" t="str" cm="1">
        <f t="array" aca="1" ref="O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4" s="1" t="str" cm="1">
        <f t="array" aca="1" ref="P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4" s="1" t="str" cm="1">
        <f t="array" aca="1" ref="Q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4" s="1" t="str" cm="1">
        <f t="array" aca="1" ref="R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4" s="1" t="str" cm="1">
        <f t="array" aca="1" ref="S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4" s="1" t="str" cm="1">
        <f t="array" aca="1" ref="T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4" s="1" t="str" cm="1">
        <f t="array" aca="1" ref="U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4" s="1" t="str" cm="1">
        <f t="array" aca="1" ref="V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4" s="1" t="str" cm="1">
        <f t="array" aca="1" ref="W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4" s="1" t="str" cm="1">
        <f t="array" aca="1" ref="X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4" s="1" t="str" cm="1">
        <f t="array" aca="1" ref="Y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4" s="1" t="str" cm="1">
        <f t="array" aca="1" ref="Z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4" s="1" t="str" cm="1">
        <f t="array" aca="1" ref="AA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4" s="1" t="str" cm="1">
        <f t="array" aca="1" ref="AB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4" s="1" t="str" cm="1">
        <f t="array" aca="1" ref="AC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4" s="1" t="str" cm="1">
        <f t="array" aca="1" ref="AD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4" s="1" t="str" cm="1">
        <f t="array" aca="1" ref="AE19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5" spans="1:31">
      <c r="A195" s="1" t="str" cm="1">
        <f t="array" aca="1" ref="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5" s="1" t="str" cm="1">
        <f t="array" aca="1" ref="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5" s="1" t="str" cm="1">
        <f t="array" aca="1" ref="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5" s="1" t="str" cm="1">
        <f t="array" aca="1" ref="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5" s="1" t="str" cm="1">
        <f t="array" aca="1" ref="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5" s="1" t="str" cm="1">
        <f t="array" aca="1" ref="F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5" s="1" t="str" cm="1">
        <f t="array" aca="1" ref="G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5" s="1" t="str" cm="1">
        <f t="array" aca="1" ref="H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5" s="1" t="str" cm="1">
        <f t="array" aca="1" ref="I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5" s="1" t="str" cm="1">
        <f t="array" aca="1" ref="J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5" s="1" t="str" cm="1">
        <f t="array" aca="1" ref="K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5" s="1" t="str" cm="1">
        <f t="array" aca="1" ref="L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5" s="1" t="str" cm="1">
        <f t="array" aca="1" ref="M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5" s="1" t="str" cm="1">
        <f t="array" aca="1" ref="N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5" s="1" t="str" cm="1">
        <f t="array" aca="1" ref="O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5" s="1" t="str" cm="1">
        <f t="array" aca="1" ref="P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5" s="1" t="str" cm="1">
        <f t="array" aca="1" ref="Q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5" s="1" t="str" cm="1">
        <f t="array" aca="1" ref="R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5" s="1" t="str" cm="1">
        <f t="array" aca="1" ref="S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5" s="1" t="str" cm="1">
        <f t="array" aca="1" ref="T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5" s="1" t="str" cm="1">
        <f t="array" aca="1" ref="U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5" s="1" t="str" cm="1">
        <f t="array" aca="1" ref="V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5" s="1" t="str" cm="1">
        <f t="array" aca="1" ref="W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5" s="1" t="str" cm="1">
        <f t="array" aca="1" ref="X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5" s="1" t="str" cm="1">
        <f t="array" aca="1" ref="Y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5" s="1" t="str" cm="1">
        <f t="array" aca="1" ref="Z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5" s="1" t="str" cm="1">
        <f t="array" aca="1" ref="AA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5" s="1" t="str" cm="1">
        <f t="array" aca="1" ref="AB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5" s="1" t="str" cm="1">
        <f t="array" aca="1" ref="AC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5" s="1" t="str" cm="1">
        <f t="array" aca="1" ref="AD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5" s="1" t="str" cm="1">
        <f t="array" aca="1" ref="AE19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6" spans="1:31">
      <c r="A196" s="1" t="str" cm="1">
        <f t="array" aca="1" ref="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6" s="1" t="str" cm="1">
        <f t="array" aca="1" ref="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6" s="1" t="str" cm="1">
        <f t="array" aca="1" ref="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6" s="1" t="str" cm="1">
        <f t="array" aca="1" ref="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6" s="1" t="str" cm="1">
        <f t="array" aca="1" ref="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6" s="1" t="str" cm="1">
        <f t="array" aca="1" ref="F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6" s="1" t="str" cm="1">
        <f t="array" aca="1" ref="G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6" s="1" t="str" cm="1">
        <f t="array" aca="1" ref="H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6" s="1" t="str" cm="1">
        <f t="array" aca="1" ref="I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6" s="1" t="str" cm="1">
        <f t="array" aca="1" ref="J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6" s="1" t="str" cm="1">
        <f t="array" aca="1" ref="K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6" s="1" t="str" cm="1">
        <f t="array" aca="1" ref="L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6" s="1" t="str" cm="1">
        <f t="array" aca="1" ref="M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6" s="1" t="str" cm="1">
        <f t="array" aca="1" ref="N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6" s="1" t="str" cm="1">
        <f t="array" aca="1" ref="O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6" s="1" t="str" cm="1">
        <f t="array" aca="1" ref="P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6" s="1" t="str" cm="1">
        <f t="array" aca="1" ref="Q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6" s="1" t="str" cm="1">
        <f t="array" aca="1" ref="R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6" s="1" t="str" cm="1">
        <f t="array" aca="1" ref="S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6" s="1" t="str" cm="1">
        <f t="array" aca="1" ref="T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6" s="1" t="str" cm="1">
        <f t="array" aca="1" ref="U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6" s="1" t="str" cm="1">
        <f t="array" aca="1" ref="V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6" s="1" t="str" cm="1">
        <f t="array" aca="1" ref="W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6" s="1" t="str" cm="1">
        <f t="array" aca="1" ref="X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6" s="1" t="str" cm="1">
        <f t="array" aca="1" ref="Y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6" s="1" t="str" cm="1">
        <f t="array" aca="1" ref="Z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6" s="1" t="str" cm="1">
        <f t="array" aca="1" ref="AA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6" s="1" t="str" cm="1">
        <f t="array" aca="1" ref="AB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6" s="1" t="str" cm="1">
        <f t="array" aca="1" ref="AC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6" s="1" t="str" cm="1">
        <f t="array" aca="1" ref="AD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6" s="1" t="str" cm="1">
        <f t="array" aca="1" ref="AE19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7" spans="1:31">
      <c r="A197" s="1" t="str" cm="1">
        <f t="array" aca="1" ref="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7" s="1" t="str" cm="1">
        <f t="array" aca="1" ref="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7" s="1" t="str" cm="1">
        <f t="array" aca="1" ref="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7" s="1" t="str" cm="1">
        <f t="array" aca="1" ref="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7" s="1" t="str" cm="1">
        <f t="array" aca="1" ref="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7" s="1" t="str" cm="1">
        <f t="array" aca="1" ref="F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7" s="1" t="str" cm="1">
        <f t="array" aca="1" ref="G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7" s="1" t="str" cm="1">
        <f t="array" aca="1" ref="H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7" s="1" t="str" cm="1">
        <f t="array" aca="1" ref="I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7" s="1" t="str" cm="1">
        <f t="array" aca="1" ref="J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7" s="1" t="str" cm="1">
        <f t="array" aca="1" ref="K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7" s="1" t="str" cm="1">
        <f t="array" aca="1" ref="L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7" s="1" t="str" cm="1">
        <f t="array" aca="1" ref="M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7" s="1" t="str" cm="1">
        <f t="array" aca="1" ref="N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7" s="1" t="str" cm="1">
        <f t="array" aca="1" ref="O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7" s="1" t="str" cm="1">
        <f t="array" aca="1" ref="P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7" s="1" t="str" cm="1">
        <f t="array" aca="1" ref="Q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7" s="1" t="str" cm="1">
        <f t="array" aca="1" ref="R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7" s="1" t="str" cm="1">
        <f t="array" aca="1" ref="S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7" s="1" t="str" cm="1">
        <f t="array" aca="1" ref="T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7" s="1" t="str" cm="1">
        <f t="array" aca="1" ref="U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7" s="1" t="str" cm="1">
        <f t="array" aca="1" ref="V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7" s="1" t="str" cm="1">
        <f t="array" aca="1" ref="W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7" s="1" t="str" cm="1">
        <f t="array" aca="1" ref="X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7" s="1" t="str" cm="1">
        <f t="array" aca="1" ref="Y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7" s="1" t="str" cm="1">
        <f t="array" aca="1" ref="Z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7" s="1" t="str" cm="1">
        <f t="array" aca="1" ref="AA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7" s="1" t="str" cm="1">
        <f t="array" aca="1" ref="AB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7" s="1" t="str" cm="1">
        <f t="array" aca="1" ref="AC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7" s="1" t="str" cm="1">
        <f t="array" aca="1" ref="AD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7" s="1" t="str" cm="1">
        <f t="array" aca="1" ref="AE19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8" spans="1:31">
      <c r="A198" s="1" t="str" cm="1">
        <f t="array" aca="1" ref="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8" s="1" t="str" cm="1">
        <f t="array" aca="1" ref="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8" s="1" t="str" cm="1">
        <f t="array" aca="1" ref="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8" s="1" t="str" cm="1">
        <f t="array" aca="1" ref="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8" s="1" t="str" cm="1">
        <f t="array" aca="1" ref="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8" s="1" t="str" cm="1">
        <f t="array" aca="1" ref="F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8" s="1" t="str" cm="1">
        <f t="array" aca="1" ref="G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8" s="1" t="str" cm="1">
        <f t="array" aca="1" ref="H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8" s="1" t="str" cm="1">
        <f t="array" aca="1" ref="I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8" s="1" t="str" cm="1">
        <f t="array" aca="1" ref="J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8" s="1" t="str" cm="1">
        <f t="array" aca="1" ref="K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8" s="1" t="str" cm="1">
        <f t="array" aca="1" ref="L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8" s="1" t="str" cm="1">
        <f t="array" aca="1" ref="M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8" s="1" t="str" cm="1">
        <f t="array" aca="1" ref="N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8" s="1" t="str" cm="1">
        <f t="array" aca="1" ref="O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8" s="1" t="str" cm="1">
        <f t="array" aca="1" ref="P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8" s="1" t="str" cm="1">
        <f t="array" aca="1" ref="Q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8" s="1" t="str" cm="1">
        <f t="array" aca="1" ref="R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8" s="1" t="str" cm="1">
        <f t="array" aca="1" ref="S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8" s="1" t="str" cm="1">
        <f t="array" aca="1" ref="T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8" s="1" t="str" cm="1">
        <f t="array" aca="1" ref="U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8" s="1" t="str" cm="1">
        <f t="array" aca="1" ref="V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8" s="1" t="str" cm="1">
        <f t="array" aca="1" ref="W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8" s="1" t="str" cm="1">
        <f t="array" aca="1" ref="X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8" s="1" t="str" cm="1">
        <f t="array" aca="1" ref="Y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8" s="1" t="str" cm="1">
        <f t="array" aca="1" ref="Z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8" s="1" t="str" cm="1">
        <f t="array" aca="1" ref="AA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8" s="1" t="str" cm="1">
        <f t="array" aca="1" ref="AB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8" s="1" t="str" cm="1">
        <f t="array" aca="1" ref="AC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8" s="1" t="str" cm="1">
        <f t="array" aca="1" ref="AD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8" s="1" t="str" cm="1">
        <f t="array" aca="1" ref="AE19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199" spans="1:31">
      <c r="A199" s="1" t="str" cm="1">
        <f t="array" aca="1" ref="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199" s="1" t="str" cm="1">
        <f t="array" aca="1" ref="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199" s="1" t="str" cm="1">
        <f t="array" aca="1" ref="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199" s="1" t="str" cm="1">
        <f t="array" aca="1" ref="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199" s="1" t="str" cm="1">
        <f t="array" aca="1" ref="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199" s="1" t="str" cm="1">
        <f t="array" aca="1" ref="F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199" s="1" t="str" cm="1">
        <f t="array" aca="1" ref="G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199" s="1" t="str" cm="1">
        <f t="array" aca="1" ref="H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199" s="1" t="str" cm="1">
        <f t="array" aca="1" ref="I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199" s="1" t="str" cm="1">
        <f t="array" aca="1" ref="J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199" s="1" t="str" cm="1">
        <f t="array" aca="1" ref="K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199" s="1" t="str" cm="1">
        <f t="array" aca="1" ref="L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199" s="1" t="str" cm="1">
        <f t="array" aca="1" ref="M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199" s="1" t="str" cm="1">
        <f t="array" aca="1" ref="N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199" s="1" t="str" cm="1">
        <f t="array" aca="1" ref="O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199" s="1" t="str" cm="1">
        <f t="array" aca="1" ref="P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199" s="1" t="str" cm="1">
        <f t="array" aca="1" ref="Q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199" s="1" t="str" cm="1">
        <f t="array" aca="1" ref="R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199" s="1" t="str" cm="1">
        <f t="array" aca="1" ref="S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199" s="1" t="str" cm="1">
        <f t="array" aca="1" ref="T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199" s="1" t="str" cm="1">
        <f t="array" aca="1" ref="U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199" s="1" t="str" cm="1">
        <f t="array" aca="1" ref="V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199" s="1" t="str" cm="1">
        <f t="array" aca="1" ref="W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199" s="1" t="str" cm="1">
        <f t="array" aca="1" ref="X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199" s="1" t="str" cm="1">
        <f t="array" aca="1" ref="Y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199" s="1" t="str" cm="1">
        <f t="array" aca="1" ref="Z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199" s="1" t="str" cm="1">
        <f t="array" aca="1" ref="AA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199" s="1" t="str" cm="1">
        <f t="array" aca="1" ref="AB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199" s="1" t="str" cm="1">
        <f t="array" aca="1" ref="AC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199" s="1" t="str" cm="1">
        <f t="array" aca="1" ref="AD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199" s="1" t="str" cm="1">
        <f t="array" aca="1" ref="AE19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0" spans="1:31">
      <c r="A200" s="1" t="str" cm="1">
        <f t="array" aca="1" ref="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0" s="1" t="str" cm="1">
        <f t="array" aca="1" ref="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0" s="1" t="str" cm="1">
        <f t="array" aca="1" ref="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0" s="1" t="str" cm="1">
        <f t="array" aca="1" ref="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0" s="1" t="str" cm="1">
        <f t="array" aca="1" ref="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0" s="1" t="str" cm="1">
        <f t="array" aca="1" ref="F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0" s="1" t="str" cm="1">
        <f t="array" aca="1" ref="G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0" s="1" t="str" cm="1">
        <f t="array" aca="1" ref="H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0" s="1" t="str" cm="1">
        <f t="array" aca="1" ref="I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0" s="1" t="str" cm="1">
        <f t="array" aca="1" ref="J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0" s="1" t="str" cm="1">
        <f t="array" aca="1" ref="K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0" s="1" t="str" cm="1">
        <f t="array" aca="1" ref="L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0" s="1" t="str" cm="1">
        <f t="array" aca="1" ref="M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0" s="1" t="str" cm="1">
        <f t="array" aca="1" ref="N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0" s="1" t="str" cm="1">
        <f t="array" aca="1" ref="O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0" s="1" t="str" cm="1">
        <f t="array" aca="1" ref="P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0" s="1" t="str" cm="1">
        <f t="array" aca="1" ref="Q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0" s="1" t="str" cm="1">
        <f t="array" aca="1" ref="R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0" s="1" t="str" cm="1">
        <f t="array" aca="1" ref="S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0" s="1" t="str" cm="1">
        <f t="array" aca="1" ref="T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0" s="1" t="str" cm="1">
        <f t="array" aca="1" ref="U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0" s="1" t="str" cm="1">
        <f t="array" aca="1" ref="V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0" s="1" t="str" cm="1">
        <f t="array" aca="1" ref="W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0" s="1" t="str" cm="1">
        <f t="array" aca="1" ref="X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0" s="1" t="str" cm="1">
        <f t="array" aca="1" ref="Y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0" s="1" t="str" cm="1">
        <f t="array" aca="1" ref="Z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0" s="1" t="str" cm="1">
        <f t="array" aca="1" ref="AA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0" s="1" t="str" cm="1">
        <f t="array" aca="1" ref="AB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0" s="1" t="str" cm="1">
        <f t="array" aca="1" ref="AC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0" s="1" t="str" cm="1">
        <f t="array" aca="1" ref="AD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0" s="1" t="str" cm="1">
        <f t="array" aca="1" ref="AE20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1" spans="1:31">
      <c r="A201" s="1" t="str" cm="1">
        <f t="array" aca="1" ref="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1" s="1" t="str" cm="1">
        <f t="array" aca="1" ref="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1" s="1" t="str" cm="1">
        <f t="array" aca="1" ref="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1" s="1" t="str" cm="1">
        <f t="array" aca="1" ref="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1" s="1" t="str" cm="1">
        <f t="array" aca="1" ref="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1" s="1" t="str" cm="1">
        <f t="array" aca="1" ref="F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1" s="1" t="str" cm="1">
        <f t="array" aca="1" ref="G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1" s="1" t="str" cm="1">
        <f t="array" aca="1" ref="H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1" s="1" t="str" cm="1">
        <f t="array" aca="1" ref="I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1" s="1" t="str" cm="1">
        <f t="array" aca="1" ref="J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1" s="1" t="str" cm="1">
        <f t="array" aca="1" ref="K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1" s="1" t="str" cm="1">
        <f t="array" aca="1" ref="L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1" s="1" t="str" cm="1">
        <f t="array" aca="1" ref="M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1" s="1" t="str" cm="1">
        <f t="array" aca="1" ref="N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1" s="1" t="str" cm="1">
        <f t="array" aca="1" ref="O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1" s="1" t="str" cm="1">
        <f t="array" aca="1" ref="P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1" s="1" t="str" cm="1">
        <f t="array" aca="1" ref="Q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1" s="1" t="str" cm="1">
        <f t="array" aca="1" ref="R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1" s="1" t="str" cm="1">
        <f t="array" aca="1" ref="S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1" s="1" t="str" cm="1">
        <f t="array" aca="1" ref="T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1" s="1" t="str" cm="1">
        <f t="array" aca="1" ref="U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1" s="1" t="str" cm="1">
        <f t="array" aca="1" ref="V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1" s="1" t="str" cm="1">
        <f t="array" aca="1" ref="W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1" s="1" t="str" cm="1">
        <f t="array" aca="1" ref="X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1" s="1" t="str" cm="1">
        <f t="array" aca="1" ref="Y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1" s="1" t="str" cm="1">
        <f t="array" aca="1" ref="Z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1" s="1" t="str" cm="1">
        <f t="array" aca="1" ref="AA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1" s="1" t="str" cm="1">
        <f t="array" aca="1" ref="AB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1" s="1" t="str" cm="1">
        <f t="array" aca="1" ref="AC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1" s="1" t="str" cm="1">
        <f t="array" aca="1" ref="AD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1" s="1" t="str" cm="1">
        <f t="array" aca="1" ref="AE20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2" spans="1:31">
      <c r="A202" s="1" t="str" cm="1">
        <f t="array" aca="1" ref="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2" s="1" t="str" cm="1">
        <f t="array" aca="1" ref="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2" s="1" t="str" cm="1">
        <f t="array" aca="1" ref="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2" s="1" t="str" cm="1">
        <f t="array" aca="1" ref="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2" s="1" t="str" cm="1">
        <f t="array" aca="1" ref="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2" s="1" t="str" cm="1">
        <f t="array" aca="1" ref="F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2" s="1" t="str" cm="1">
        <f t="array" aca="1" ref="G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2" s="1" t="str" cm="1">
        <f t="array" aca="1" ref="H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2" s="1" t="str" cm="1">
        <f t="array" aca="1" ref="I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2" s="1" t="str" cm="1">
        <f t="array" aca="1" ref="J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2" s="1" t="str" cm="1">
        <f t="array" aca="1" ref="K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2" s="1" t="str" cm="1">
        <f t="array" aca="1" ref="L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2" s="1" t="str" cm="1">
        <f t="array" aca="1" ref="M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2" s="1" t="str" cm="1">
        <f t="array" aca="1" ref="N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2" s="1" t="str" cm="1">
        <f t="array" aca="1" ref="O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2" s="1" t="str" cm="1">
        <f t="array" aca="1" ref="P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2" s="1" t="str" cm="1">
        <f t="array" aca="1" ref="Q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2" s="1" t="str" cm="1">
        <f t="array" aca="1" ref="R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2" s="1" t="str" cm="1">
        <f t="array" aca="1" ref="S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2" s="1" t="str" cm="1">
        <f t="array" aca="1" ref="T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2" s="1" t="str" cm="1">
        <f t="array" aca="1" ref="U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2" s="1" t="str" cm="1">
        <f t="array" aca="1" ref="V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2" s="1" t="str" cm="1">
        <f t="array" aca="1" ref="W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2" s="1" t="str" cm="1">
        <f t="array" aca="1" ref="X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2" s="1" t="str" cm="1">
        <f t="array" aca="1" ref="Y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2" s="1" t="str" cm="1">
        <f t="array" aca="1" ref="Z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2" s="1" t="str" cm="1">
        <f t="array" aca="1" ref="AA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2" s="1" t="str" cm="1">
        <f t="array" aca="1" ref="AB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2" s="1" t="str" cm="1">
        <f t="array" aca="1" ref="AC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2" s="1" t="str" cm="1">
        <f t="array" aca="1" ref="AD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2" s="1" t="str" cm="1">
        <f t="array" aca="1" ref="AE20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3" spans="1:31">
      <c r="A203" s="1" t="str" cm="1">
        <f t="array" aca="1" ref="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3" s="1" t="str" cm="1">
        <f t="array" aca="1" ref="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3" s="1" t="str" cm="1">
        <f t="array" aca="1" ref="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3" s="1" t="str" cm="1">
        <f t="array" aca="1" ref="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3" s="1" t="str" cm="1">
        <f t="array" aca="1" ref="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3" s="1" t="str" cm="1">
        <f t="array" aca="1" ref="F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3" s="1" t="str" cm="1">
        <f t="array" aca="1" ref="G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3" s="1" t="str" cm="1">
        <f t="array" aca="1" ref="H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3" s="1" t="str" cm="1">
        <f t="array" aca="1" ref="I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3" s="1" t="str" cm="1">
        <f t="array" aca="1" ref="J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3" s="1" t="str" cm="1">
        <f t="array" aca="1" ref="K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3" s="1" t="str" cm="1">
        <f t="array" aca="1" ref="L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3" s="1" t="str" cm="1">
        <f t="array" aca="1" ref="M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3" s="1" t="str" cm="1">
        <f t="array" aca="1" ref="N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3" s="1" t="str" cm="1">
        <f t="array" aca="1" ref="O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3" s="1" t="str" cm="1">
        <f t="array" aca="1" ref="P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3" s="1" t="str" cm="1">
        <f t="array" aca="1" ref="Q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3" s="1" t="str" cm="1">
        <f t="array" aca="1" ref="R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3" s="1" t="str" cm="1">
        <f t="array" aca="1" ref="S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3" s="1" t="str" cm="1">
        <f t="array" aca="1" ref="T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3" s="1" t="str" cm="1">
        <f t="array" aca="1" ref="U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3" s="1" t="str" cm="1">
        <f t="array" aca="1" ref="V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3" s="1" t="str" cm="1">
        <f t="array" aca="1" ref="W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3" s="1" t="str" cm="1">
        <f t="array" aca="1" ref="X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3" s="1" t="str" cm="1">
        <f t="array" aca="1" ref="Y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3" s="1" t="str" cm="1">
        <f t="array" aca="1" ref="Z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3" s="1" t="str" cm="1">
        <f t="array" aca="1" ref="AA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3" s="1" t="str" cm="1">
        <f t="array" aca="1" ref="AB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3" s="1" t="str" cm="1">
        <f t="array" aca="1" ref="AC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3" s="1" t="str" cm="1">
        <f t="array" aca="1" ref="AD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3" s="1" t="str" cm="1">
        <f t="array" aca="1" ref="AE20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4" spans="1:31">
      <c r="A204" s="1" t="str" cm="1">
        <f t="array" aca="1" ref="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4" s="1" t="str" cm="1">
        <f t="array" aca="1" ref="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4" s="1" t="str" cm="1">
        <f t="array" aca="1" ref="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4" s="1" t="str" cm="1">
        <f t="array" aca="1" ref="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4" s="1" t="str" cm="1">
        <f t="array" aca="1" ref="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4" s="1" t="str" cm="1">
        <f t="array" aca="1" ref="F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4" s="1" t="str" cm="1">
        <f t="array" aca="1" ref="G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4" s="1" t="str" cm="1">
        <f t="array" aca="1" ref="H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4" s="1" t="str" cm="1">
        <f t="array" aca="1" ref="I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4" s="1" t="str" cm="1">
        <f t="array" aca="1" ref="J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4" s="1" t="str" cm="1">
        <f t="array" aca="1" ref="K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4" s="1" t="str" cm="1">
        <f t="array" aca="1" ref="L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4" s="1" t="str" cm="1">
        <f t="array" aca="1" ref="M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4" s="1" t="str" cm="1">
        <f t="array" aca="1" ref="N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4" s="1" t="str" cm="1">
        <f t="array" aca="1" ref="O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4" s="1" t="str" cm="1">
        <f t="array" aca="1" ref="P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4" s="1" t="str" cm="1">
        <f t="array" aca="1" ref="Q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4" s="1" t="str" cm="1">
        <f t="array" aca="1" ref="R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4" s="1" t="str" cm="1">
        <f t="array" aca="1" ref="S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4" s="1" t="str" cm="1">
        <f t="array" aca="1" ref="T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4" s="1" t="str" cm="1">
        <f t="array" aca="1" ref="U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4" s="1" t="str" cm="1">
        <f t="array" aca="1" ref="V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4" s="1" t="str" cm="1">
        <f t="array" aca="1" ref="W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4" s="1" t="str" cm="1">
        <f t="array" aca="1" ref="X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4" s="1" t="str" cm="1">
        <f t="array" aca="1" ref="Y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4" s="1" t="str" cm="1">
        <f t="array" aca="1" ref="Z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4" s="1" t="str" cm="1">
        <f t="array" aca="1" ref="AA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4" s="1" t="str" cm="1">
        <f t="array" aca="1" ref="AB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4" s="1" t="str" cm="1">
        <f t="array" aca="1" ref="AC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4" s="1" t="str" cm="1">
        <f t="array" aca="1" ref="AD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4" s="1" t="str" cm="1">
        <f t="array" aca="1" ref="AE20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5" spans="1:31">
      <c r="A205" s="1" t="str" cm="1">
        <f t="array" aca="1" ref="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5" s="1" t="str" cm="1">
        <f t="array" aca="1" ref="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5" s="1" t="str" cm="1">
        <f t="array" aca="1" ref="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5" s="1" t="str" cm="1">
        <f t="array" aca="1" ref="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5" s="1" t="str" cm="1">
        <f t="array" aca="1" ref="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5" s="1" t="str" cm="1">
        <f t="array" aca="1" ref="F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5" s="1" t="str" cm="1">
        <f t="array" aca="1" ref="G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5" s="1" t="str" cm="1">
        <f t="array" aca="1" ref="H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5" s="1" t="str" cm="1">
        <f t="array" aca="1" ref="I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5" s="1" t="str" cm="1">
        <f t="array" aca="1" ref="J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5" s="1" t="str" cm="1">
        <f t="array" aca="1" ref="K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5" s="1" t="str" cm="1">
        <f t="array" aca="1" ref="L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5" s="1" t="str" cm="1">
        <f t="array" aca="1" ref="M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5" s="1" t="str" cm="1">
        <f t="array" aca="1" ref="N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5" s="1" t="str" cm="1">
        <f t="array" aca="1" ref="O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5" s="1" t="str" cm="1">
        <f t="array" aca="1" ref="P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5" s="1" t="str" cm="1">
        <f t="array" aca="1" ref="Q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5" s="1" t="str" cm="1">
        <f t="array" aca="1" ref="R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5" s="1" t="str" cm="1">
        <f t="array" aca="1" ref="S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5" s="1" t="str" cm="1">
        <f t="array" aca="1" ref="T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5" s="1" t="str" cm="1">
        <f t="array" aca="1" ref="U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5" s="1" t="str" cm="1">
        <f t="array" aca="1" ref="V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5" s="1" t="str" cm="1">
        <f t="array" aca="1" ref="W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5" s="1" t="str" cm="1">
        <f t="array" aca="1" ref="X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5" s="1" t="str" cm="1">
        <f t="array" aca="1" ref="Y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5" s="1" t="str" cm="1">
        <f t="array" aca="1" ref="Z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5" s="1" t="str" cm="1">
        <f t="array" aca="1" ref="AA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5" s="1" t="str" cm="1">
        <f t="array" aca="1" ref="AB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5" s="1" t="str" cm="1">
        <f t="array" aca="1" ref="AC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5" s="1" t="str" cm="1">
        <f t="array" aca="1" ref="AD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5" s="1" t="str" cm="1">
        <f t="array" aca="1" ref="AE20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6" spans="1:31">
      <c r="A206" s="1" t="str" cm="1">
        <f t="array" aca="1" ref="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6" s="1" t="str" cm="1">
        <f t="array" aca="1" ref="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6" s="1" t="str" cm="1">
        <f t="array" aca="1" ref="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6" s="1" t="str" cm="1">
        <f t="array" aca="1" ref="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6" s="1" t="str" cm="1">
        <f t="array" aca="1" ref="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6" s="1" t="str" cm="1">
        <f t="array" aca="1" ref="F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6" s="1" t="str" cm="1">
        <f t="array" aca="1" ref="G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6" s="1" t="str" cm="1">
        <f t="array" aca="1" ref="H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6" s="1" t="str" cm="1">
        <f t="array" aca="1" ref="I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6" s="1" t="str" cm="1">
        <f t="array" aca="1" ref="J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6" s="1" t="str" cm="1">
        <f t="array" aca="1" ref="K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6" s="1" t="str" cm="1">
        <f t="array" aca="1" ref="L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6" s="1" t="str" cm="1">
        <f t="array" aca="1" ref="M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6" s="1" t="str" cm="1">
        <f t="array" aca="1" ref="N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6" s="1" t="str" cm="1">
        <f t="array" aca="1" ref="O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6" s="1" t="str" cm="1">
        <f t="array" aca="1" ref="P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6" s="1" t="str" cm="1">
        <f t="array" aca="1" ref="Q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6" s="1" t="str" cm="1">
        <f t="array" aca="1" ref="R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6" s="1" t="str" cm="1">
        <f t="array" aca="1" ref="S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6" s="1" t="str" cm="1">
        <f t="array" aca="1" ref="T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6" s="1" t="str" cm="1">
        <f t="array" aca="1" ref="U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6" s="1" t="str" cm="1">
        <f t="array" aca="1" ref="V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6" s="1" t="str" cm="1">
        <f t="array" aca="1" ref="W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6" s="1" t="str" cm="1">
        <f t="array" aca="1" ref="X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6" s="1" t="str" cm="1">
        <f t="array" aca="1" ref="Y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6" s="1" t="str" cm="1">
        <f t="array" aca="1" ref="Z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6" s="1" t="str" cm="1">
        <f t="array" aca="1" ref="AA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6" s="1" t="str" cm="1">
        <f t="array" aca="1" ref="AB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6" s="1" t="str" cm="1">
        <f t="array" aca="1" ref="AC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6" s="1" t="str" cm="1">
        <f t="array" aca="1" ref="AD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6" s="1" t="str" cm="1">
        <f t="array" aca="1" ref="AE20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7" spans="1:31">
      <c r="A207" s="1" t="str" cm="1">
        <f t="array" aca="1" ref="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7" s="1" t="str" cm="1">
        <f t="array" aca="1" ref="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7" s="1" t="str" cm="1">
        <f t="array" aca="1" ref="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7" s="1" t="str" cm="1">
        <f t="array" aca="1" ref="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7" s="1" t="str" cm="1">
        <f t="array" aca="1" ref="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7" s="1" t="str" cm="1">
        <f t="array" aca="1" ref="F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7" s="1" t="str" cm="1">
        <f t="array" aca="1" ref="G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7" s="1" t="str" cm="1">
        <f t="array" aca="1" ref="H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7" s="1" t="str" cm="1">
        <f t="array" aca="1" ref="I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7" s="1" t="str" cm="1">
        <f t="array" aca="1" ref="J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7" s="1" t="str" cm="1">
        <f t="array" aca="1" ref="K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7" s="1" t="str" cm="1">
        <f t="array" aca="1" ref="L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7" s="1" t="str" cm="1">
        <f t="array" aca="1" ref="M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7" s="1" t="str" cm="1">
        <f t="array" aca="1" ref="N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7" s="1" t="str" cm="1">
        <f t="array" aca="1" ref="O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7" s="1" t="str" cm="1">
        <f t="array" aca="1" ref="P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7" s="1" t="str" cm="1">
        <f t="array" aca="1" ref="Q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7" s="1" t="str" cm="1">
        <f t="array" aca="1" ref="R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7" s="1" t="str" cm="1">
        <f t="array" aca="1" ref="S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7" s="1" t="str" cm="1">
        <f t="array" aca="1" ref="T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7" s="1" t="str" cm="1">
        <f t="array" aca="1" ref="U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7" s="1" t="str" cm="1">
        <f t="array" aca="1" ref="V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7" s="1" t="str" cm="1">
        <f t="array" aca="1" ref="W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7" s="1" t="str" cm="1">
        <f t="array" aca="1" ref="X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7" s="1" t="str" cm="1">
        <f t="array" aca="1" ref="Y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7" s="1" t="str" cm="1">
        <f t="array" aca="1" ref="Z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7" s="1" t="str" cm="1">
        <f t="array" aca="1" ref="AA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7" s="1" t="str" cm="1">
        <f t="array" aca="1" ref="AB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7" s="1" t="str" cm="1">
        <f t="array" aca="1" ref="AC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7" s="1" t="str" cm="1">
        <f t="array" aca="1" ref="AD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7" s="1" t="str" cm="1">
        <f t="array" aca="1" ref="AE20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8" spans="1:31">
      <c r="A208" s="1" t="str" cm="1">
        <f t="array" aca="1" ref="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8" s="1" t="str" cm="1">
        <f t="array" aca="1" ref="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8" s="1" t="str" cm="1">
        <f t="array" aca="1" ref="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8" s="1" t="str" cm="1">
        <f t="array" aca="1" ref="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8" s="1" t="str" cm="1">
        <f t="array" aca="1" ref="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8" s="1" t="str" cm="1">
        <f t="array" aca="1" ref="F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8" s="1" t="str" cm="1">
        <f t="array" aca="1" ref="G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8" s="1" t="str" cm="1">
        <f t="array" aca="1" ref="H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8" s="1" t="str" cm="1">
        <f t="array" aca="1" ref="I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8" s="1" t="str" cm="1">
        <f t="array" aca="1" ref="J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8" s="1" t="str" cm="1">
        <f t="array" aca="1" ref="K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8" s="1" t="str" cm="1">
        <f t="array" aca="1" ref="L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8" s="1" t="str" cm="1">
        <f t="array" aca="1" ref="M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8" s="1" t="str" cm="1">
        <f t="array" aca="1" ref="N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8" s="1" t="str" cm="1">
        <f t="array" aca="1" ref="O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8" s="1" t="str" cm="1">
        <f t="array" aca="1" ref="P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8" s="1" t="str" cm="1">
        <f t="array" aca="1" ref="Q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8" s="1" t="str" cm="1">
        <f t="array" aca="1" ref="R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8" s="1" t="str" cm="1">
        <f t="array" aca="1" ref="S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8" s="1" t="str" cm="1">
        <f t="array" aca="1" ref="T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8" s="1" t="str" cm="1">
        <f t="array" aca="1" ref="U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8" s="1" t="str" cm="1">
        <f t="array" aca="1" ref="V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8" s="1" t="str" cm="1">
        <f t="array" aca="1" ref="W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8" s="1" t="str" cm="1">
        <f t="array" aca="1" ref="X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8" s="1" t="str" cm="1">
        <f t="array" aca="1" ref="Y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8" s="1" t="str" cm="1">
        <f t="array" aca="1" ref="Z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8" s="1" t="str" cm="1">
        <f t="array" aca="1" ref="AA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8" s="1" t="str" cm="1">
        <f t="array" aca="1" ref="AB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8" s="1" t="str" cm="1">
        <f t="array" aca="1" ref="AC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8" s="1" t="str" cm="1">
        <f t="array" aca="1" ref="AD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8" s="1" t="str" cm="1">
        <f t="array" aca="1" ref="AE20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09" spans="1:31">
      <c r="A209" s="1" t="str" cm="1">
        <f t="array" aca="1" ref="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09" s="1" t="str" cm="1">
        <f t="array" aca="1" ref="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09" s="1" t="str" cm="1">
        <f t="array" aca="1" ref="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09" s="1" t="str" cm="1">
        <f t="array" aca="1" ref="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09" s="1" t="str" cm="1">
        <f t="array" aca="1" ref="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09" s="1" t="str" cm="1">
        <f t="array" aca="1" ref="F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09" s="1" t="str" cm="1">
        <f t="array" aca="1" ref="G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09" s="1" t="str" cm="1">
        <f t="array" aca="1" ref="H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09" s="1" t="str" cm="1">
        <f t="array" aca="1" ref="I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09" s="1" t="str" cm="1">
        <f t="array" aca="1" ref="J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09" s="1" t="str" cm="1">
        <f t="array" aca="1" ref="K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09" s="1" t="str" cm="1">
        <f t="array" aca="1" ref="L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09" s="1" t="str" cm="1">
        <f t="array" aca="1" ref="M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09" s="1" t="str" cm="1">
        <f t="array" aca="1" ref="N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09" s="1" t="str" cm="1">
        <f t="array" aca="1" ref="O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09" s="1" t="str" cm="1">
        <f t="array" aca="1" ref="P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09" s="1" t="str" cm="1">
        <f t="array" aca="1" ref="Q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09" s="1" t="str" cm="1">
        <f t="array" aca="1" ref="R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09" s="1" t="str" cm="1">
        <f t="array" aca="1" ref="S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09" s="1" t="str" cm="1">
        <f t="array" aca="1" ref="T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09" s="1" t="str" cm="1">
        <f t="array" aca="1" ref="U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09" s="1" t="str" cm="1">
        <f t="array" aca="1" ref="V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09" s="1" t="str" cm="1">
        <f t="array" aca="1" ref="W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09" s="1" t="str" cm="1">
        <f t="array" aca="1" ref="X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09" s="1" t="str" cm="1">
        <f t="array" aca="1" ref="Y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09" s="1" t="str" cm="1">
        <f t="array" aca="1" ref="Z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09" s="1" t="str" cm="1">
        <f t="array" aca="1" ref="AA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09" s="1" t="str" cm="1">
        <f t="array" aca="1" ref="AB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09" s="1" t="str" cm="1">
        <f t="array" aca="1" ref="AC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09" s="1" t="str" cm="1">
        <f t="array" aca="1" ref="AD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09" s="1" t="str" cm="1">
        <f t="array" aca="1" ref="AE20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0" spans="1:31">
      <c r="A210" s="1" t="str" cm="1">
        <f t="array" aca="1" ref="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0" s="1" t="str" cm="1">
        <f t="array" aca="1" ref="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0" s="1" t="str" cm="1">
        <f t="array" aca="1" ref="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0" s="1" t="str" cm="1">
        <f t="array" aca="1" ref="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0" s="1" t="str" cm="1">
        <f t="array" aca="1" ref="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0" s="1" t="str" cm="1">
        <f t="array" aca="1" ref="F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0" s="1" t="str" cm="1">
        <f t="array" aca="1" ref="G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0" s="1" t="str" cm="1">
        <f t="array" aca="1" ref="H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0" s="1" t="str" cm="1">
        <f t="array" aca="1" ref="I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0" s="1" t="str" cm="1">
        <f t="array" aca="1" ref="J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0" s="1" t="str" cm="1">
        <f t="array" aca="1" ref="K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0" s="1" t="str" cm="1">
        <f t="array" aca="1" ref="L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0" s="1" t="str" cm="1">
        <f t="array" aca="1" ref="M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0" s="1" t="str" cm="1">
        <f t="array" aca="1" ref="N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0" s="1" t="str" cm="1">
        <f t="array" aca="1" ref="O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0" s="1" t="str" cm="1">
        <f t="array" aca="1" ref="P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0" s="1" t="str" cm="1">
        <f t="array" aca="1" ref="Q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0" s="1" t="str" cm="1">
        <f t="array" aca="1" ref="R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0" s="1" t="str" cm="1">
        <f t="array" aca="1" ref="S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0" s="1" t="str" cm="1">
        <f t="array" aca="1" ref="T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0" s="1" t="str" cm="1">
        <f t="array" aca="1" ref="U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0" s="1" t="str" cm="1">
        <f t="array" aca="1" ref="V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0" s="1" t="str" cm="1">
        <f t="array" aca="1" ref="W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0" s="1" t="str" cm="1">
        <f t="array" aca="1" ref="X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0" s="1" t="str" cm="1">
        <f t="array" aca="1" ref="Y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0" s="1" t="str" cm="1">
        <f t="array" aca="1" ref="Z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0" s="1" t="str" cm="1">
        <f t="array" aca="1" ref="AA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0" s="1" t="str" cm="1">
        <f t="array" aca="1" ref="AB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0" s="1" t="str" cm="1">
        <f t="array" aca="1" ref="AC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0" s="1" t="str" cm="1">
        <f t="array" aca="1" ref="AD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0" s="1" t="str" cm="1">
        <f t="array" aca="1" ref="AE21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1" spans="1:31">
      <c r="A211" s="1" t="str" cm="1">
        <f t="array" aca="1" ref="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1" s="1" t="str" cm="1">
        <f t="array" aca="1" ref="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1" s="1" t="str" cm="1">
        <f t="array" aca="1" ref="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1" s="1" t="str" cm="1">
        <f t="array" aca="1" ref="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1" s="1" t="str" cm="1">
        <f t="array" aca="1" ref="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1" s="1" t="str" cm="1">
        <f t="array" aca="1" ref="F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1" s="1" t="str" cm="1">
        <f t="array" aca="1" ref="G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1" s="1" t="str" cm="1">
        <f t="array" aca="1" ref="H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1" s="1" t="str" cm="1">
        <f t="array" aca="1" ref="I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1" s="1" t="str" cm="1">
        <f t="array" aca="1" ref="J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1" s="1" t="str" cm="1">
        <f t="array" aca="1" ref="K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1" s="1" t="str" cm="1">
        <f t="array" aca="1" ref="L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1" s="1" t="str" cm="1">
        <f t="array" aca="1" ref="M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1" s="1" t="str" cm="1">
        <f t="array" aca="1" ref="N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1" s="1" t="str" cm="1">
        <f t="array" aca="1" ref="O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1" s="1" t="str" cm="1">
        <f t="array" aca="1" ref="P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1" s="1" t="str" cm="1">
        <f t="array" aca="1" ref="Q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1" s="1" t="str" cm="1">
        <f t="array" aca="1" ref="R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1" s="1" t="str" cm="1">
        <f t="array" aca="1" ref="S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1" s="1" t="str" cm="1">
        <f t="array" aca="1" ref="T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1" s="1" t="str" cm="1">
        <f t="array" aca="1" ref="U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1" s="1" t="str" cm="1">
        <f t="array" aca="1" ref="V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1" s="1" t="str" cm="1">
        <f t="array" aca="1" ref="W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1" s="1" t="str" cm="1">
        <f t="array" aca="1" ref="X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1" s="1" t="str" cm="1">
        <f t="array" aca="1" ref="Y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1" s="1" t="str" cm="1">
        <f t="array" aca="1" ref="Z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1" s="1" t="str" cm="1">
        <f t="array" aca="1" ref="AA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1" s="1" t="str" cm="1">
        <f t="array" aca="1" ref="AB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1" s="1" t="str" cm="1">
        <f t="array" aca="1" ref="AC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1" s="1" t="str" cm="1">
        <f t="array" aca="1" ref="AD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1" s="1" t="str" cm="1">
        <f t="array" aca="1" ref="AE21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2" spans="1:31">
      <c r="A212" s="1" t="str" cm="1">
        <f t="array" aca="1" ref="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2" s="1" t="str" cm="1">
        <f t="array" aca="1" ref="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2" s="1" t="str" cm="1">
        <f t="array" aca="1" ref="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2" s="1" t="str" cm="1">
        <f t="array" aca="1" ref="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2" s="1" t="str" cm="1">
        <f t="array" aca="1" ref="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2" s="1" t="str" cm="1">
        <f t="array" aca="1" ref="F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2" s="1" t="str" cm="1">
        <f t="array" aca="1" ref="G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2" s="1" t="str" cm="1">
        <f t="array" aca="1" ref="H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2" s="1" t="str" cm="1">
        <f t="array" aca="1" ref="I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2" s="1" t="str" cm="1">
        <f t="array" aca="1" ref="J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2" s="1" t="str" cm="1">
        <f t="array" aca="1" ref="K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2" s="1" t="str" cm="1">
        <f t="array" aca="1" ref="L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2" s="1" t="str" cm="1">
        <f t="array" aca="1" ref="M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2" s="1" t="str" cm="1">
        <f t="array" aca="1" ref="N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2" s="1" t="str" cm="1">
        <f t="array" aca="1" ref="O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2" s="1" t="str" cm="1">
        <f t="array" aca="1" ref="P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2" s="1" t="str" cm="1">
        <f t="array" aca="1" ref="Q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2" s="1" t="str" cm="1">
        <f t="array" aca="1" ref="R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2" s="1" t="str" cm="1">
        <f t="array" aca="1" ref="S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2" s="1" t="str" cm="1">
        <f t="array" aca="1" ref="T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2" s="1" t="str" cm="1">
        <f t="array" aca="1" ref="U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2" s="1" t="str" cm="1">
        <f t="array" aca="1" ref="V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2" s="1" t="str" cm="1">
        <f t="array" aca="1" ref="W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2" s="1" t="str" cm="1">
        <f t="array" aca="1" ref="X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2" s="1" t="str" cm="1">
        <f t="array" aca="1" ref="Y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2" s="1" t="str" cm="1">
        <f t="array" aca="1" ref="Z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2" s="1" t="str" cm="1">
        <f t="array" aca="1" ref="AA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2" s="1" t="str" cm="1">
        <f t="array" aca="1" ref="AB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2" s="1" t="str" cm="1">
        <f t="array" aca="1" ref="AC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2" s="1" t="str" cm="1">
        <f t="array" aca="1" ref="AD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2" s="1" t="str" cm="1">
        <f t="array" aca="1" ref="AE21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3" spans="1:31">
      <c r="A213" s="1" t="str" cm="1">
        <f t="array" aca="1" ref="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3" s="1" t="str" cm="1">
        <f t="array" aca="1" ref="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3" s="1" t="str" cm="1">
        <f t="array" aca="1" ref="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3" s="1" t="str" cm="1">
        <f t="array" aca="1" ref="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3" s="1" t="str" cm="1">
        <f t="array" aca="1" ref="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3" s="1" t="str" cm="1">
        <f t="array" aca="1" ref="F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3" s="1" t="str" cm="1">
        <f t="array" aca="1" ref="G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3" s="1" t="str" cm="1">
        <f t="array" aca="1" ref="H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3" s="1" t="str" cm="1">
        <f t="array" aca="1" ref="I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3" s="1" t="str" cm="1">
        <f t="array" aca="1" ref="J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3" s="1" t="str" cm="1">
        <f t="array" aca="1" ref="K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3" s="1" t="str" cm="1">
        <f t="array" aca="1" ref="L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3" s="1" t="str" cm="1">
        <f t="array" aca="1" ref="M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3" s="1" t="str" cm="1">
        <f t="array" aca="1" ref="N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3" s="1" t="str" cm="1">
        <f t="array" aca="1" ref="O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3" s="1" t="str" cm="1">
        <f t="array" aca="1" ref="P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3" s="1" t="str" cm="1">
        <f t="array" aca="1" ref="Q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3" s="1" t="str" cm="1">
        <f t="array" aca="1" ref="R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3" s="1" t="str" cm="1">
        <f t="array" aca="1" ref="S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3" s="1" t="str" cm="1">
        <f t="array" aca="1" ref="T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3" s="1" t="str" cm="1">
        <f t="array" aca="1" ref="U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3" s="1" t="str" cm="1">
        <f t="array" aca="1" ref="V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3" s="1" t="str" cm="1">
        <f t="array" aca="1" ref="W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3" s="1" t="str" cm="1">
        <f t="array" aca="1" ref="X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3" s="1" t="str" cm="1">
        <f t="array" aca="1" ref="Y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3" s="1" t="str" cm="1">
        <f t="array" aca="1" ref="Z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3" s="1" t="str" cm="1">
        <f t="array" aca="1" ref="AA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3" s="1" t="str" cm="1">
        <f t="array" aca="1" ref="AB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3" s="1" t="str" cm="1">
        <f t="array" aca="1" ref="AC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3" s="1" t="str" cm="1">
        <f t="array" aca="1" ref="AD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3" s="1" t="str" cm="1">
        <f t="array" aca="1" ref="AE21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4" spans="1:31">
      <c r="A214" s="1" t="str" cm="1">
        <f t="array" aca="1" ref="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4" s="1" t="str" cm="1">
        <f t="array" aca="1" ref="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4" s="1" t="str" cm="1">
        <f t="array" aca="1" ref="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4" s="1" t="str" cm="1">
        <f t="array" aca="1" ref="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4" s="1" t="str" cm="1">
        <f t="array" aca="1" ref="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4" s="1" t="str" cm="1">
        <f t="array" aca="1" ref="F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4" s="1" t="str" cm="1">
        <f t="array" aca="1" ref="G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4" s="1" t="str" cm="1">
        <f t="array" aca="1" ref="H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4" s="1" t="str" cm="1">
        <f t="array" aca="1" ref="I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4" s="1" t="str" cm="1">
        <f t="array" aca="1" ref="J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4" s="1" t="str" cm="1">
        <f t="array" aca="1" ref="K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4" s="1" t="str" cm="1">
        <f t="array" aca="1" ref="L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4" s="1" t="str" cm="1">
        <f t="array" aca="1" ref="M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4" s="1" t="str" cm="1">
        <f t="array" aca="1" ref="N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4" s="1" t="str" cm="1">
        <f t="array" aca="1" ref="O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4" s="1" t="str" cm="1">
        <f t="array" aca="1" ref="P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4" s="1" t="str" cm="1">
        <f t="array" aca="1" ref="Q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4" s="1" t="str" cm="1">
        <f t="array" aca="1" ref="R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4" s="1" t="str" cm="1">
        <f t="array" aca="1" ref="S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4" s="1" t="str" cm="1">
        <f t="array" aca="1" ref="T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4" s="1" t="str" cm="1">
        <f t="array" aca="1" ref="U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4" s="1" t="str" cm="1">
        <f t="array" aca="1" ref="V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4" s="1" t="str" cm="1">
        <f t="array" aca="1" ref="W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4" s="1" t="str" cm="1">
        <f t="array" aca="1" ref="X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4" s="1" t="str" cm="1">
        <f t="array" aca="1" ref="Y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4" s="1" t="str" cm="1">
        <f t="array" aca="1" ref="Z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4" s="1" t="str" cm="1">
        <f t="array" aca="1" ref="AA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4" s="1" t="str" cm="1">
        <f t="array" aca="1" ref="AB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4" s="1" t="str" cm="1">
        <f t="array" aca="1" ref="AC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4" s="1" t="str" cm="1">
        <f t="array" aca="1" ref="AD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4" s="1" t="str" cm="1">
        <f t="array" aca="1" ref="AE21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5" spans="1:31">
      <c r="A215" s="1" t="str" cm="1">
        <f t="array" aca="1" ref="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5" s="1" t="str" cm="1">
        <f t="array" aca="1" ref="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5" s="1" t="str" cm="1">
        <f t="array" aca="1" ref="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5" s="1" t="str" cm="1">
        <f t="array" aca="1" ref="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5" s="1" t="str" cm="1">
        <f t="array" aca="1" ref="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5" s="1" t="str" cm="1">
        <f t="array" aca="1" ref="F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5" s="1" t="str" cm="1">
        <f t="array" aca="1" ref="G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5" s="1" t="str" cm="1">
        <f t="array" aca="1" ref="H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5" s="1" t="str" cm="1">
        <f t="array" aca="1" ref="I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5" s="1" t="str" cm="1">
        <f t="array" aca="1" ref="J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5" s="1" t="str" cm="1">
        <f t="array" aca="1" ref="K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5" s="1" t="str" cm="1">
        <f t="array" aca="1" ref="L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5" s="1" t="str" cm="1">
        <f t="array" aca="1" ref="M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5" s="1" t="str" cm="1">
        <f t="array" aca="1" ref="N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5" s="1" t="str" cm="1">
        <f t="array" aca="1" ref="O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5" s="1" t="str" cm="1">
        <f t="array" aca="1" ref="P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5" s="1" t="str" cm="1">
        <f t="array" aca="1" ref="Q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5" s="1" t="str" cm="1">
        <f t="array" aca="1" ref="R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5" s="1" t="str" cm="1">
        <f t="array" aca="1" ref="S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5" s="1" t="str" cm="1">
        <f t="array" aca="1" ref="T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5" s="1" t="str" cm="1">
        <f t="array" aca="1" ref="U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5" s="1" t="str" cm="1">
        <f t="array" aca="1" ref="V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5" s="1" t="str" cm="1">
        <f t="array" aca="1" ref="W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5" s="1" t="str" cm="1">
        <f t="array" aca="1" ref="X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5" s="1" t="str" cm="1">
        <f t="array" aca="1" ref="Y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5" s="1" t="str" cm="1">
        <f t="array" aca="1" ref="Z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5" s="1" t="str" cm="1">
        <f t="array" aca="1" ref="AA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5" s="1" t="str" cm="1">
        <f t="array" aca="1" ref="AB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5" s="1" t="str" cm="1">
        <f t="array" aca="1" ref="AC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5" s="1" t="str" cm="1">
        <f t="array" aca="1" ref="AD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5" s="1" t="str" cm="1">
        <f t="array" aca="1" ref="AE21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6" spans="1:31">
      <c r="A216" s="1" t="str" cm="1">
        <f t="array" aca="1" ref="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6" s="1" t="str" cm="1">
        <f t="array" aca="1" ref="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6" s="1" t="str" cm="1">
        <f t="array" aca="1" ref="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6" s="1" t="str" cm="1">
        <f t="array" aca="1" ref="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6" s="1" t="str" cm="1">
        <f t="array" aca="1" ref="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6" s="1" t="str" cm="1">
        <f t="array" aca="1" ref="F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6" s="1" t="str" cm="1">
        <f t="array" aca="1" ref="G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6" s="1" t="str" cm="1">
        <f t="array" aca="1" ref="H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6" s="1" t="str" cm="1">
        <f t="array" aca="1" ref="I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6" s="1" t="str" cm="1">
        <f t="array" aca="1" ref="J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6" s="1" t="str" cm="1">
        <f t="array" aca="1" ref="K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6" s="1" t="str" cm="1">
        <f t="array" aca="1" ref="L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6" s="1" t="str" cm="1">
        <f t="array" aca="1" ref="M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6" s="1" t="str" cm="1">
        <f t="array" aca="1" ref="N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6" s="1" t="str" cm="1">
        <f t="array" aca="1" ref="O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6" s="1" t="str" cm="1">
        <f t="array" aca="1" ref="P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6" s="1" t="str" cm="1">
        <f t="array" aca="1" ref="Q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6" s="1" t="str" cm="1">
        <f t="array" aca="1" ref="R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6" s="1" t="str" cm="1">
        <f t="array" aca="1" ref="S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6" s="1" t="str" cm="1">
        <f t="array" aca="1" ref="T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6" s="1" t="str" cm="1">
        <f t="array" aca="1" ref="U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6" s="1" t="str" cm="1">
        <f t="array" aca="1" ref="V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6" s="1" t="str" cm="1">
        <f t="array" aca="1" ref="W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6" s="1" t="str" cm="1">
        <f t="array" aca="1" ref="X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6" s="1" t="str" cm="1">
        <f t="array" aca="1" ref="Y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6" s="1" t="str" cm="1">
        <f t="array" aca="1" ref="Z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6" s="1" t="str" cm="1">
        <f t="array" aca="1" ref="AA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6" s="1" t="str" cm="1">
        <f t="array" aca="1" ref="AB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6" s="1" t="str" cm="1">
        <f t="array" aca="1" ref="AC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6" s="1" t="str" cm="1">
        <f t="array" aca="1" ref="AD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6" s="1" t="str" cm="1">
        <f t="array" aca="1" ref="AE21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7" spans="1:31">
      <c r="A217" s="1" t="str" cm="1">
        <f t="array" aca="1" ref="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7" s="1" t="str" cm="1">
        <f t="array" aca="1" ref="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7" s="1" t="str" cm="1">
        <f t="array" aca="1" ref="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7" s="1" t="str" cm="1">
        <f t="array" aca="1" ref="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7" s="1" t="str" cm="1">
        <f t="array" aca="1" ref="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7" s="1" t="str" cm="1">
        <f t="array" aca="1" ref="F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7" s="1" t="str" cm="1">
        <f t="array" aca="1" ref="G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7" s="1" t="str" cm="1">
        <f t="array" aca="1" ref="H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7" s="1" t="str" cm="1">
        <f t="array" aca="1" ref="I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7" s="1" t="str" cm="1">
        <f t="array" aca="1" ref="J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7" s="1" t="str" cm="1">
        <f t="array" aca="1" ref="K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7" s="1" t="str" cm="1">
        <f t="array" aca="1" ref="L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7" s="1" t="str" cm="1">
        <f t="array" aca="1" ref="M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7" s="1" t="str" cm="1">
        <f t="array" aca="1" ref="N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7" s="1" t="str" cm="1">
        <f t="array" aca="1" ref="O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7" s="1" t="str" cm="1">
        <f t="array" aca="1" ref="P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7" s="1" t="str" cm="1">
        <f t="array" aca="1" ref="Q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7" s="1" t="str" cm="1">
        <f t="array" aca="1" ref="R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7" s="1" t="str" cm="1">
        <f t="array" aca="1" ref="S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7" s="1" t="str" cm="1">
        <f t="array" aca="1" ref="T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7" s="1" t="str" cm="1">
        <f t="array" aca="1" ref="U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7" s="1" t="str" cm="1">
        <f t="array" aca="1" ref="V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7" s="1" t="str" cm="1">
        <f t="array" aca="1" ref="W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7" s="1" t="str" cm="1">
        <f t="array" aca="1" ref="X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7" s="1" t="str" cm="1">
        <f t="array" aca="1" ref="Y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7" s="1" t="str" cm="1">
        <f t="array" aca="1" ref="Z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7" s="1" t="str" cm="1">
        <f t="array" aca="1" ref="AA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7" s="1" t="str" cm="1">
        <f t="array" aca="1" ref="AB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7" s="1" t="str" cm="1">
        <f t="array" aca="1" ref="AC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7" s="1" t="str" cm="1">
        <f t="array" aca="1" ref="AD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7" s="1" t="str" cm="1">
        <f t="array" aca="1" ref="AE21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8" spans="1:31">
      <c r="A218" s="1" t="str" cm="1">
        <f t="array" aca="1" ref="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8" s="1" t="str" cm="1">
        <f t="array" aca="1" ref="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8" s="1" t="str" cm="1">
        <f t="array" aca="1" ref="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8" s="1" t="str" cm="1">
        <f t="array" aca="1" ref="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8" s="1" t="str" cm="1">
        <f t="array" aca="1" ref="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8" s="1" t="str" cm="1">
        <f t="array" aca="1" ref="F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8" s="1" t="str" cm="1">
        <f t="array" aca="1" ref="G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8" s="1" t="str" cm="1">
        <f t="array" aca="1" ref="H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8" s="1" t="str" cm="1">
        <f t="array" aca="1" ref="I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8" s="1" t="str" cm="1">
        <f t="array" aca="1" ref="J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8" s="1" t="str" cm="1">
        <f t="array" aca="1" ref="K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8" s="1" t="str" cm="1">
        <f t="array" aca="1" ref="L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8" s="1" t="str" cm="1">
        <f t="array" aca="1" ref="M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8" s="1" t="str" cm="1">
        <f t="array" aca="1" ref="N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8" s="1" t="str" cm="1">
        <f t="array" aca="1" ref="O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8" s="1" t="str" cm="1">
        <f t="array" aca="1" ref="P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8" s="1" t="str" cm="1">
        <f t="array" aca="1" ref="Q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8" s="1" t="str" cm="1">
        <f t="array" aca="1" ref="R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8" s="1" t="str" cm="1">
        <f t="array" aca="1" ref="S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8" s="1" t="str" cm="1">
        <f t="array" aca="1" ref="T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8" s="1" t="str" cm="1">
        <f t="array" aca="1" ref="U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8" s="1" t="str" cm="1">
        <f t="array" aca="1" ref="V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8" s="1" t="str" cm="1">
        <f t="array" aca="1" ref="W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8" s="1" t="str" cm="1">
        <f t="array" aca="1" ref="X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8" s="1" t="str" cm="1">
        <f t="array" aca="1" ref="Y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8" s="1" t="str" cm="1">
        <f t="array" aca="1" ref="Z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8" s="1" t="str" cm="1">
        <f t="array" aca="1" ref="AA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8" s="1" t="str" cm="1">
        <f t="array" aca="1" ref="AB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8" s="1" t="str" cm="1">
        <f t="array" aca="1" ref="AC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8" s="1" t="str" cm="1">
        <f t="array" aca="1" ref="AD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8" s="1" t="str" cm="1">
        <f t="array" aca="1" ref="AE21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19" spans="1:31">
      <c r="A219" s="1" t="str" cm="1">
        <f t="array" aca="1" ref="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19" s="1" t="str" cm="1">
        <f t="array" aca="1" ref="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19" s="1" t="str" cm="1">
        <f t="array" aca="1" ref="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19" s="1" t="str" cm="1">
        <f t="array" aca="1" ref="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19" s="1" t="str" cm="1">
        <f t="array" aca="1" ref="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19" s="1" t="str" cm="1">
        <f t="array" aca="1" ref="F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19" s="1" t="str" cm="1">
        <f t="array" aca="1" ref="G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19" s="1" t="str" cm="1">
        <f t="array" aca="1" ref="H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19" s="1" t="str" cm="1">
        <f t="array" aca="1" ref="I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19" s="1" t="str" cm="1">
        <f t="array" aca="1" ref="J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19" s="1" t="str" cm="1">
        <f t="array" aca="1" ref="K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19" s="1" t="str" cm="1">
        <f t="array" aca="1" ref="L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19" s="1" t="str" cm="1">
        <f t="array" aca="1" ref="M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19" s="1" t="str" cm="1">
        <f t="array" aca="1" ref="N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19" s="1" t="str" cm="1">
        <f t="array" aca="1" ref="O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19" s="1" t="str" cm="1">
        <f t="array" aca="1" ref="P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19" s="1" t="str" cm="1">
        <f t="array" aca="1" ref="Q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19" s="1" t="str" cm="1">
        <f t="array" aca="1" ref="R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19" s="1" t="str" cm="1">
        <f t="array" aca="1" ref="S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19" s="1" t="str" cm="1">
        <f t="array" aca="1" ref="T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19" s="1" t="str" cm="1">
        <f t="array" aca="1" ref="U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19" s="1" t="str" cm="1">
        <f t="array" aca="1" ref="V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19" s="1" t="str" cm="1">
        <f t="array" aca="1" ref="W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19" s="1" t="str" cm="1">
        <f t="array" aca="1" ref="X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19" s="1" t="str" cm="1">
        <f t="array" aca="1" ref="Y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19" s="1" t="str" cm="1">
        <f t="array" aca="1" ref="Z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19" s="1" t="str" cm="1">
        <f t="array" aca="1" ref="AA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19" s="1" t="str" cm="1">
        <f t="array" aca="1" ref="AB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19" s="1" t="str" cm="1">
        <f t="array" aca="1" ref="AC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19" s="1" t="str" cm="1">
        <f t="array" aca="1" ref="AD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19" s="1" t="str" cm="1">
        <f t="array" aca="1" ref="AE21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0" spans="1:31">
      <c r="A220" s="1" t="str" cm="1">
        <f t="array" aca="1" ref="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0" s="1" t="str" cm="1">
        <f t="array" aca="1" ref="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0" s="1" t="str" cm="1">
        <f t="array" aca="1" ref="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0" s="1" t="str" cm="1">
        <f t="array" aca="1" ref="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0" s="1" t="str" cm="1">
        <f t="array" aca="1" ref="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0" s="1" t="str" cm="1">
        <f t="array" aca="1" ref="F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0" s="1" t="str" cm="1">
        <f t="array" aca="1" ref="G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0" s="1" t="str" cm="1">
        <f t="array" aca="1" ref="H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0" s="1" t="str" cm="1">
        <f t="array" aca="1" ref="I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0" s="1" t="str" cm="1">
        <f t="array" aca="1" ref="J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0" s="1" t="str" cm="1">
        <f t="array" aca="1" ref="K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0" s="1" t="str" cm="1">
        <f t="array" aca="1" ref="L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0" s="1" t="str" cm="1">
        <f t="array" aca="1" ref="M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0" s="1" t="str" cm="1">
        <f t="array" aca="1" ref="N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0" s="1" t="str" cm="1">
        <f t="array" aca="1" ref="O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0" s="1" t="str" cm="1">
        <f t="array" aca="1" ref="P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0" s="1" t="str" cm="1">
        <f t="array" aca="1" ref="Q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0" s="1" t="str" cm="1">
        <f t="array" aca="1" ref="R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0" s="1" t="str" cm="1">
        <f t="array" aca="1" ref="S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0" s="1" t="str" cm="1">
        <f t="array" aca="1" ref="T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0" s="1" t="str" cm="1">
        <f t="array" aca="1" ref="U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0" s="1" t="str" cm="1">
        <f t="array" aca="1" ref="V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0" s="1" t="str" cm="1">
        <f t="array" aca="1" ref="W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0" s="1" t="str" cm="1">
        <f t="array" aca="1" ref="X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0" s="1" t="str" cm="1">
        <f t="array" aca="1" ref="Y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0" s="1" t="str" cm="1">
        <f t="array" aca="1" ref="Z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0" s="1" t="str" cm="1">
        <f t="array" aca="1" ref="AA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0" s="1" t="str" cm="1">
        <f t="array" aca="1" ref="AB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0" s="1" t="str" cm="1">
        <f t="array" aca="1" ref="AC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0" s="1" t="str" cm="1">
        <f t="array" aca="1" ref="AD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0" s="1" t="str" cm="1">
        <f t="array" aca="1" ref="AE22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1" spans="1:31">
      <c r="A221" s="1" t="str" cm="1">
        <f t="array" aca="1" ref="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1" s="1" t="str" cm="1">
        <f t="array" aca="1" ref="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1" s="1" t="str" cm="1">
        <f t="array" aca="1" ref="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1" s="1" t="str" cm="1">
        <f t="array" aca="1" ref="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1" s="1" t="str" cm="1">
        <f t="array" aca="1" ref="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1" s="1" t="str" cm="1">
        <f t="array" aca="1" ref="F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1" s="1" t="str" cm="1">
        <f t="array" aca="1" ref="G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1" s="1" t="str" cm="1">
        <f t="array" aca="1" ref="H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1" s="1" t="str" cm="1">
        <f t="array" aca="1" ref="I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1" s="1" t="str" cm="1">
        <f t="array" aca="1" ref="J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1" s="1" t="str" cm="1">
        <f t="array" aca="1" ref="K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1" s="1" t="str" cm="1">
        <f t="array" aca="1" ref="L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1" s="1" t="str" cm="1">
        <f t="array" aca="1" ref="M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1" s="1" t="str" cm="1">
        <f t="array" aca="1" ref="N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1" s="1" t="str" cm="1">
        <f t="array" aca="1" ref="O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1" s="1" t="str" cm="1">
        <f t="array" aca="1" ref="P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1" s="1" t="str" cm="1">
        <f t="array" aca="1" ref="Q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1" s="1" t="str" cm="1">
        <f t="array" aca="1" ref="R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1" s="1" t="str" cm="1">
        <f t="array" aca="1" ref="S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1" s="1" t="str" cm="1">
        <f t="array" aca="1" ref="T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1" s="1" t="str" cm="1">
        <f t="array" aca="1" ref="U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1" s="1" t="str" cm="1">
        <f t="array" aca="1" ref="V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1" s="1" t="str" cm="1">
        <f t="array" aca="1" ref="W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1" s="1" t="str" cm="1">
        <f t="array" aca="1" ref="X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1" s="1" t="str" cm="1">
        <f t="array" aca="1" ref="Y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1" s="1" t="str" cm="1">
        <f t="array" aca="1" ref="Z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1" s="1" t="str" cm="1">
        <f t="array" aca="1" ref="AA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1" s="1" t="str" cm="1">
        <f t="array" aca="1" ref="AB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1" s="1" t="str" cm="1">
        <f t="array" aca="1" ref="AC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1" s="1" t="str" cm="1">
        <f t="array" aca="1" ref="AD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1" s="1" t="str" cm="1">
        <f t="array" aca="1" ref="AE22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2" spans="1:31">
      <c r="A222" s="1" t="str" cm="1">
        <f t="array" aca="1" ref="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2" s="1" t="str" cm="1">
        <f t="array" aca="1" ref="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2" s="1" t="str" cm="1">
        <f t="array" aca="1" ref="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2" s="1" t="str" cm="1">
        <f t="array" aca="1" ref="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2" s="1" t="str" cm="1">
        <f t="array" aca="1" ref="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2" s="1" t="str" cm="1">
        <f t="array" aca="1" ref="F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2" s="1" t="str" cm="1">
        <f t="array" aca="1" ref="G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2" s="1" t="str" cm="1">
        <f t="array" aca="1" ref="H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2" s="1" t="str" cm="1">
        <f t="array" aca="1" ref="I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2" s="1" t="str" cm="1">
        <f t="array" aca="1" ref="J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2" s="1" t="str" cm="1">
        <f t="array" aca="1" ref="K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2" s="1" t="str" cm="1">
        <f t="array" aca="1" ref="L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2" s="1" t="str" cm="1">
        <f t="array" aca="1" ref="M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2" s="1" t="str" cm="1">
        <f t="array" aca="1" ref="N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2" s="1" t="str" cm="1">
        <f t="array" aca="1" ref="O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2" s="1" t="str" cm="1">
        <f t="array" aca="1" ref="P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2" s="1" t="str" cm="1">
        <f t="array" aca="1" ref="Q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2" s="1" t="str" cm="1">
        <f t="array" aca="1" ref="R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2" s="1" t="str" cm="1">
        <f t="array" aca="1" ref="S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2" s="1" t="str" cm="1">
        <f t="array" aca="1" ref="T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2" s="1" t="str" cm="1">
        <f t="array" aca="1" ref="U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2" s="1" t="str" cm="1">
        <f t="array" aca="1" ref="V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2" s="1" t="str" cm="1">
        <f t="array" aca="1" ref="W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2" s="1" t="str" cm="1">
        <f t="array" aca="1" ref="X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2" s="1" t="str" cm="1">
        <f t="array" aca="1" ref="Y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2" s="1" t="str" cm="1">
        <f t="array" aca="1" ref="Z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2" s="1" t="str" cm="1">
        <f t="array" aca="1" ref="AA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2" s="1" t="str" cm="1">
        <f t="array" aca="1" ref="AB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2" s="1" t="str" cm="1">
        <f t="array" aca="1" ref="AC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2" s="1" t="str" cm="1">
        <f t="array" aca="1" ref="AD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2" s="1" t="str" cm="1">
        <f t="array" aca="1" ref="AE22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3" spans="1:31">
      <c r="A223" s="1" t="str" cm="1">
        <f t="array" aca="1" ref="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3" s="1" t="str" cm="1">
        <f t="array" aca="1" ref="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3" s="1" t="str" cm="1">
        <f t="array" aca="1" ref="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3" s="1" t="str" cm="1">
        <f t="array" aca="1" ref="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3" s="1" t="str" cm="1">
        <f t="array" aca="1" ref="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3" s="1" t="str" cm="1">
        <f t="array" aca="1" ref="F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3" s="1" t="str" cm="1">
        <f t="array" aca="1" ref="G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3" s="1" t="str" cm="1">
        <f t="array" aca="1" ref="H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3" s="1" t="str" cm="1">
        <f t="array" aca="1" ref="I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3" s="1" t="str" cm="1">
        <f t="array" aca="1" ref="J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3" s="1" t="str" cm="1">
        <f t="array" aca="1" ref="K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3" s="1" t="str" cm="1">
        <f t="array" aca="1" ref="L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3" s="1" t="str" cm="1">
        <f t="array" aca="1" ref="M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3" s="1" t="str" cm="1">
        <f t="array" aca="1" ref="N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3" s="1" t="str" cm="1">
        <f t="array" aca="1" ref="O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3" s="1" t="str" cm="1">
        <f t="array" aca="1" ref="P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3" s="1" t="str" cm="1">
        <f t="array" aca="1" ref="Q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3" s="1" t="str" cm="1">
        <f t="array" aca="1" ref="R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3" s="1" t="str" cm="1">
        <f t="array" aca="1" ref="S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3" s="1" t="str" cm="1">
        <f t="array" aca="1" ref="T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3" s="1" t="str" cm="1">
        <f t="array" aca="1" ref="U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3" s="1" t="str" cm="1">
        <f t="array" aca="1" ref="V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3" s="1" t="str" cm="1">
        <f t="array" aca="1" ref="W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3" s="1" t="str" cm="1">
        <f t="array" aca="1" ref="X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3" s="1" t="str" cm="1">
        <f t="array" aca="1" ref="Y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3" s="1" t="str" cm="1">
        <f t="array" aca="1" ref="Z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3" s="1" t="str" cm="1">
        <f t="array" aca="1" ref="AA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3" s="1" t="str" cm="1">
        <f t="array" aca="1" ref="AB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3" s="1" t="str" cm="1">
        <f t="array" aca="1" ref="AC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3" s="1" t="str" cm="1">
        <f t="array" aca="1" ref="AD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3" s="1" t="str" cm="1">
        <f t="array" aca="1" ref="AE22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4" spans="1:31">
      <c r="A224" s="1" t="str" cm="1">
        <f t="array" aca="1" ref="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4" s="1" t="str" cm="1">
        <f t="array" aca="1" ref="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4" s="1" t="str" cm="1">
        <f t="array" aca="1" ref="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4" s="1" t="str" cm="1">
        <f t="array" aca="1" ref="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4" s="1" t="str" cm="1">
        <f t="array" aca="1" ref="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4" s="1" t="str" cm="1">
        <f t="array" aca="1" ref="F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4" s="1" t="str" cm="1">
        <f t="array" aca="1" ref="G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4" s="1" t="str" cm="1">
        <f t="array" aca="1" ref="H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4" s="1" t="str" cm="1">
        <f t="array" aca="1" ref="I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4" s="1" t="str" cm="1">
        <f t="array" aca="1" ref="J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4" s="1" t="str" cm="1">
        <f t="array" aca="1" ref="K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4" s="1" t="str" cm="1">
        <f t="array" aca="1" ref="L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4" s="1" t="str" cm="1">
        <f t="array" aca="1" ref="M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4" s="1" t="str" cm="1">
        <f t="array" aca="1" ref="N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4" s="1" t="str" cm="1">
        <f t="array" aca="1" ref="O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4" s="1" t="str" cm="1">
        <f t="array" aca="1" ref="P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4" s="1" t="str" cm="1">
        <f t="array" aca="1" ref="Q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4" s="1" t="str" cm="1">
        <f t="array" aca="1" ref="R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4" s="1" t="str" cm="1">
        <f t="array" aca="1" ref="S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4" s="1" t="str" cm="1">
        <f t="array" aca="1" ref="T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4" s="1" t="str" cm="1">
        <f t="array" aca="1" ref="U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4" s="1" t="str" cm="1">
        <f t="array" aca="1" ref="V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4" s="1" t="str" cm="1">
        <f t="array" aca="1" ref="W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4" s="1" t="str" cm="1">
        <f t="array" aca="1" ref="X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4" s="1" t="str" cm="1">
        <f t="array" aca="1" ref="Y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4" s="1" t="str" cm="1">
        <f t="array" aca="1" ref="Z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4" s="1" t="str" cm="1">
        <f t="array" aca="1" ref="AA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4" s="1" t="str" cm="1">
        <f t="array" aca="1" ref="AB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4" s="1" t="str" cm="1">
        <f t="array" aca="1" ref="AC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4" s="1" t="str" cm="1">
        <f t="array" aca="1" ref="AD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4" s="1" t="str" cm="1">
        <f t="array" aca="1" ref="AE22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5" spans="1:31">
      <c r="A225" s="1" t="str" cm="1">
        <f t="array" aca="1" ref="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5" s="1" t="str" cm="1">
        <f t="array" aca="1" ref="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5" s="1" t="str" cm="1">
        <f t="array" aca="1" ref="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5" s="1" t="str" cm="1">
        <f t="array" aca="1" ref="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5" s="1" t="str" cm="1">
        <f t="array" aca="1" ref="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5" s="1" t="str" cm="1">
        <f t="array" aca="1" ref="F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5" s="1" t="str" cm="1">
        <f t="array" aca="1" ref="G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5" s="1" t="str" cm="1">
        <f t="array" aca="1" ref="H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5" s="1" t="str" cm="1">
        <f t="array" aca="1" ref="I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5" s="1" t="str" cm="1">
        <f t="array" aca="1" ref="J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5" s="1" t="str" cm="1">
        <f t="array" aca="1" ref="K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5" s="1" t="str" cm="1">
        <f t="array" aca="1" ref="L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5" s="1" t="str" cm="1">
        <f t="array" aca="1" ref="M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5" s="1" t="str" cm="1">
        <f t="array" aca="1" ref="N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5" s="1" t="str" cm="1">
        <f t="array" aca="1" ref="O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5" s="1" t="str" cm="1">
        <f t="array" aca="1" ref="P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5" s="1" t="str" cm="1">
        <f t="array" aca="1" ref="Q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5" s="1" t="str" cm="1">
        <f t="array" aca="1" ref="R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5" s="1" t="str" cm="1">
        <f t="array" aca="1" ref="S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5" s="1" t="str" cm="1">
        <f t="array" aca="1" ref="T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5" s="1" t="str" cm="1">
        <f t="array" aca="1" ref="U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5" s="1" t="str" cm="1">
        <f t="array" aca="1" ref="V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5" s="1" t="str" cm="1">
        <f t="array" aca="1" ref="W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5" s="1" t="str" cm="1">
        <f t="array" aca="1" ref="X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5" s="1" t="str" cm="1">
        <f t="array" aca="1" ref="Y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5" s="1" t="str" cm="1">
        <f t="array" aca="1" ref="Z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5" s="1" t="str" cm="1">
        <f t="array" aca="1" ref="AA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5" s="1" t="str" cm="1">
        <f t="array" aca="1" ref="AB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5" s="1" t="str" cm="1">
        <f t="array" aca="1" ref="AC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5" s="1" t="str" cm="1">
        <f t="array" aca="1" ref="AD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5" s="1" t="str" cm="1">
        <f t="array" aca="1" ref="AE22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6" spans="1:31">
      <c r="A226" s="1" t="str" cm="1">
        <f t="array" aca="1" ref="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6" s="1" t="str" cm="1">
        <f t="array" aca="1" ref="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6" s="1" t="str" cm="1">
        <f t="array" aca="1" ref="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6" s="1" t="str" cm="1">
        <f t="array" aca="1" ref="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6" s="1" t="str" cm="1">
        <f t="array" aca="1" ref="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6" s="1" t="str" cm="1">
        <f t="array" aca="1" ref="F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6" s="1" t="str" cm="1">
        <f t="array" aca="1" ref="G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6" s="1" t="str" cm="1">
        <f t="array" aca="1" ref="H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6" s="1" t="str" cm="1">
        <f t="array" aca="1" ref="I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6" s="1" t="str" cm="1">
        <f t="array" aca="1" ref="J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6" s="1" t="str" cm="1">
        <f t="array" aca="1" ref="K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6" s="1" t="str" cm="1">
        <f t="array" aca="1" ref="L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6" s="1" t="str" cm="1">
        <f t="array" aca="1" ref="M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6" s="1" t="str" cm="1">
        <f t="array" aca="1" ref="N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6" s="1" t="str" cm="1">
        <f t="array" aca="1" ref="O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6" s="1" t="str" cm="1">
        <f t="array" aca="1" ref="P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6" s="1" t="str" cm="1">
        <f t="array" aca="1" ref="Q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6" s="1" t="str" cm="1">
        <f t="array" aca="1" ref="R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6" s="1" t="str" cm="1">
        <f t="array" aca="1" ref="S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6" s="1" t="str" cm="1">
        <f t="array" aca="1" ref="T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6" s="1" t="str" cm="1">
        <f t="array" aca="1" ref="U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6" s="1" t="str" cm="1">
        <f t="array" aca="1" ref="V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6" s="1" t="str" cm="1">
        <f t="array" aca="1" ref="W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6" s="1" t="str" cm="1">
        <f t="array" aca="1" ref="X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6" s="1" t="str" cm="1">
        <f t="array" aca="1" ref="Y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6" s="1" t="str" cm="1">
        <f t="array" aca="1" ref="Z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6" s="1" t="str" cm="1">
        <f t="array" aca="1" ref="AA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6" s="1" t="str" cm="1">
        <f t="array" aca="1" ref="AB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6" s="1" t="str" cm="1">
        <f t="array" aca="1" ref="AC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6" s="1" t="str" cm="1">
        <f t="array" aca="1" ref="AD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6" s="1" t="str" cm="1">
        <f t="array" aca="1" ref="AE22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7" spans="1:31">
      <c r="A227" s="1" t="str" cm="1">
        <f t="array" aca="1" ref="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7" s="1" t="str" cm="1">
        <f t="array" aca="1" ref="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7" s="1" t="str" cm="1">
        <f t="array" aca="1" ref="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7" s="1" t="str" cm="1">
        <f t="array" aca="1" ref="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7" s="1" t="str" cm="1">
        <f t="array" aca="1" ref="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7" s="1" t="str" cm="1">
        <f t="array" aca="1" ref="F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7" s="1" t="str" cm="1">
        <f t="array" aca="1" ref="G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7" s="1" t="str" cm="1">
        <f t="array" aca="1" ref="H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7" s="1" t="str" cm="1">
        <f t="array" aca="1" ref="I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7" s="1" t="str" cm="1">
        <f t="array" aca="1" ref="J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7" s="1" t="str" cm="1">
        <f t="array" aca="1" ref="K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7" s="1" t="str" cm="1">
        <f t="array" aca="1" ref="L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7" s="1" t="str" cm="1">
        <f t="array" aca="1" ref="M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7" s="1" t="str" cm="1">
        <f t="array" aca="1" ref="N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7" s="1" t="str" cm="1">
        <f t="array" aca="1" ref="O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7" s="1" t="str" cm="1">
        <f t="array" aca="1" ref="P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7" s="1" t="str" cm="1">
        <f t="array" aca="1" ref="Q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7" s="1" t="str" cm="1">
        <f t="array" aca="1" ref="R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7" s="1" t="str" cm="1">
        <f t="array" aca="1" ref="S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7" s="1" t="str" cm="1">
        <f t="array" aca="1" ref="T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7" s="1" t="str" cm="1">
        <f t="array" aca="1" ref="U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7" s="1" t="str" cm="1">
        <f t="array" aca="1" ref="V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7" s="1" t="str" cm="1">
        <f t="array" aca="1" ref="W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7" s="1" t="str" cm="1">
        <f t="array" aca="1" ref="X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7" s="1" t="str" cm="1">
        <f t="array" aca="1" ref="Y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7" s="1" t="str" cm="1">
        <f t="array" aca="1" ref="Z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7" s="1" t="str" cm="1">
        <f t="array" aca="1" ref="AA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7" s="1" t="str" cm="1">
        <f t="array" aca="1" ref="AB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7" s="1" t="str" cm="1">
        <f t="array" aca="1" ref="AC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7" s="1" t="str" cm="1">
        <f t="array" aca="1" ref="AD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7" s="1" t="str" cm="1">
        <f t="array" aca="1" ref="AE22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8" spans="1:31">
      <c r="A228" s="1" t="str" cm="1">
        <f t="array" aca="1" ref="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8" s="1" t="str" cm="1">
        <f t="array" aca="1" ref="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8" s="1" t="str" cm="1">
        <f t="array" aca="1" ref="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8" s="1" t="str" cm="1">
        <f t="array" aca="1" ref="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8" s="1" t="str" cm="1">
        <f t="array" aca="1" ref="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8" s="1" t="str" cm="1">
        <f t="array" aca="1" ref="F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8" s="1" t="str" cm="1">
        <f t="array" aca="1" ref="G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8" s="1" t="str" cm="1">
        <f t="array" aca="1" ref="H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8" s="1" t="str" cm="1">
        <f t="array" aca="1" ref="I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8" s="1" t="str" cm="1">
        <f t="array" aca="1" ref="J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8" s="1" t="str" cm="1">
        <f t="array" aca="1" ref="K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8" s="1" t="str" cm="1">
        <f t="array" aca="1" ref="L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8" s="1" t="str" cm="1">
        <f t="array" aca="1" ref="M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8" s="1" t="str" cm="1">
        <f t="array" aca="1" ref="N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8" s="1" t="str" cm="1">
        <f t="array" aca="1" ref="O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8" s="1" t="str" cm="1">
        <f t="array" aca="1" ref="P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8" s="1" t="str" cm="1">
        <f t="array" aca="1" ref="Q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8" s="1" t="str" cm="1">
        <f t="array" aca="1" ref="R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8" s="1" t="str" cm="1">
        <f t="array" aca="1" ref="S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8" s="1" t="str" cm="1">
        <f t="array" aca="1" ref="T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8" s="1" t="str" cm="1">
        <f t="array" aca="1" ref="U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8" s="1" t="str" cm="1">
        <f t="array" aca="1" ref="V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8" s="1" t="str" cm="1">
        <f t="array" aca="1" ref="W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8" s="1" t="str" cm="1">
        <f t="array" aca="1" ref="X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8" s="1" t="str" cm="1">
        <f t="array" aca="1" ref="Y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8" s="1" t="str" cm="1">
        <f t="array" aca="1" ref="Z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8" s="1" t="str" cm="1">
        <f t="array" aca="1" ref="AA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8" s="1" t="str" cm="1">
        <f t="array" aca="1" ref="AB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8" s="1" t="str" cm="1">
        <f t="array" aca="1" ref="AC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8" s="1" t="str" cm="1">
        <f t="array" aca="1" ref="AD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8" s="1" t="str" cm="1">
        <f t="array" aca="1" ref="AE22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29" spans="1:31">
      <c r="A229" s="1" t="str" cm="1">
        <f t="array" aca="1" ref="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29" s="1" t="str" cm="1">
        <f t="array" aca="1" ref="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29" s="1" t="str" cm="1">
        <f t="array" aca="1" ref="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29" s="1" t="str" cm="1">
        <f t="array" aca="1" ref="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29" s="1" t="str" cm="1">
        <f t="array" aca="1" ref="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29" s="1" t="str" cm="1">
        <f t="array" aca="1" ref="F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29" s="1" t="str" cm="1">
        <f t="array" aca="1" ref="G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29" s="1" t="str" cm="1">
        <f t="array" aca="1" ref="H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29" s="1" t="str" cm="1">
        <f t="array" aca="1" ref="I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29" s="1" t="str" cm="1">
        <f t="array" aca="1" ref="J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29" s="1" t="str" cm="1">
        <f t="array" aca="1" ref="K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29" s="1" t="str" cm="1">
        <f t="array" aca="1" ref="L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29" s="1" t="str" cm="1">
        <f t="array" aca="1" ref="M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29" s="1" t="str" cm="1">
        <f t="array" aca="1" ref="N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29" s="1" t="str" cm="1">
        <f t="array" aca="1" ref="O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29" s="1" t="str" cm="1">
        <f t="array" aca="1" ref="P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29" s="1" t="str" cm="1">
        <f t="array" aca="1" ref="Q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29" s="1" t="str" cm="1">
        <f t="array" aca="1" ref="R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29" s="1" t="str" cm="1">
        <f t="array" aca="1" ref="S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29" s="1" t="str" cm="1">
        <f t="array" aca="1" ref="T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29" s="1" t="str" cm="1">
        <f t="array" aca="1" ref="U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29" s="1" t="str" cm="1">
        <f t="array" aca="1" ref="V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29" s="1" t="str" cm="1">
        <f t="array" aca="1" ref="W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29" s="1" t="str" cm="1">
        <f t="array" aca="1" ref="X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29" s="1" t="str" cm="1">
        <f t="array" aca="1" ref="Y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29" s="1" t="str" cm="1">
        <f t="array" aca="1" ref="Z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29" s="1" t="str" cm="1">
        <f t="array" aca="1" ref="AA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29" s="1" t="str" cm="1">
        <f t="array" aca="1" ref="AB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29" s="1" t="str" cm="1">
        <f t="array" aca="1" ref="AC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29" s="1" t="str" cm="1">
        <f t="array" aca="1" ref="AD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29" s="1" t="str" cm="1">
        <f t="array" aca="1" ref="AE22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0" spans="1:31">
      <c r="A230" s="1" t="str" cm="1">
        <f t="array" aca="1" ref="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0" s="1" t="str" cm="1">
        <f t="array" aca="1" ref="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0" s="1" t="str" cm="1">
        <f t="array" aca="1" ref="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0" s="1" t="str" cm="1">
        <f t="array" aca="1" ref="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0" s="1" t="str" cm="1">
        <f t="array" aca="1" ref="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0" s="1" t="str" cm="1">
        <f t="array" aca="1" ref="F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0" s="1" t="str" cm="1">
        <f t="array" aca="1" ref="G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0" s="1" t="str" cm="1">
        <f t="array" aca="1" ref="H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0" s="1" t="str" cm="1">
        <f t="array" aca="1" ref="I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0" s="1" t="str" cm="1">
        <f t="array" aca="1" ref="J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0" s="1" t="str" cm="1">
        <f t="array" aca="1" ref="K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0" s="1" t="str" cm="1">
        <f t="array" aca="1" ref="L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0" s="1" t="str" cm="1">
        <f t="array" aca="1" ref="M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0" s="1" t="str" cm="1">
        <f t="array" aca="1" ref="N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0" s="1" t="str" cm="1">
        <f t="array" aca="1" ref="O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0" s="1" t="str" cm="1">
        <f t="array" aca="1" ref="P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0" s="1" t="str" cm="1">
        <f t="array" aca="1" ref="Q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0" s="1" t="str" cm="1">
        <f t="array" aca="1" ref="R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0" s="1" t="str" cm="1">
        <f t="array" aca="1" ref="S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0" s="1" t="str" cm="1">
        <f t="array" aca="1" ref="T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0" s="1" t="str" cm="1">
        <f t="array" aca="1" ref="U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0" s="1" t="str" cm="1">
        <f t="array" aca="1" ref="V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0" s="1" t="str" cm="1">
        <f t="array" aca="1" ref="W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0" s="1" t="str" cm="1">
        <f t="array" aca="1" ref="X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0" s="1" t="str" cm="1">
        <f t="array" aca="1" ref="Y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0" s="1" t="str" cm="1">
        <f t="array" aca="1" ref="Z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0" s="1" t="str" cm="1">
        <f t="array" aca="1" ref="AA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0" s="1" t="str" cm="1">
        <f t="array" aca="1" ref="AB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0" s="1" t="str" cm="1">
        <f t="array" aca="1" ref="AC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0" s="1" t="str" cm="1">
        <f t="array" aca="1" ref="AD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0" s="1" t="str" cm="1">
        <f t="array" aca="1" ref="AE23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1" spans="1:31">
      <c r="A231" s="1" t="str" cm="1">
        <f t="array" aca="1" ref="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1" s="1" t="str" cm="1">
        <f t="array" aca="1" ref="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1" s="1" t="str" cm="1">
        <f t="array" aca="1" ref="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1" s="1" t="str" cm="1">
        <f t="array" aca="1" ref="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1" s="1" t="str" cm="1">
        <f t="array" aca="1" ref="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1" s="1" t="str" cm="1">
        <f t="array" aca="1" ref="F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1" s="1" t="str" cm="1">
        <f t="array" aca="1" ref="G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1" s="1" t="str" cm="1">
        <f t="array" aca="1" ref="H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1" s="1" t="str" cm="1">
        <f t="array" aca="1" ref="I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1" s="1" t="str" cm="1">
        <f t="array" aca="1" ref="J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1" s="1" t="str" cm="1">
        <f t="array" aca="1" ref="K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1" s="1" t="str" cm="1">
        <f t="array" aca="1" ref="L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1" s="1" t="str" cm="1">
        <f t="array" aca="1" ref="M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1" s="1" t="str" cm="1">
        <f t="array" aca="1" ref="N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1" s="1" t="str" cm="1">
        <f t="array" aca="1" ref="O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1" s="1" t="str" cm="1">
        <f t="array" aca="1" ref="P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1" s="1" t="str" cm="1">
        <f t="array" aca="1" ref="Q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1" s="1" t="str" cm="1">
        <f t="array" aca="1" ref="R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1" s="1" t="str" cm="1">
        <f t="array" aca="1" ref="S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1" s="1" t="str" cm="1">
        <f t="array" aca="1" ref="T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1" s="1" t="str" cm="1">
        <f t="array" aca="1" ref="U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1" s="1" t="str" cm="1">
        <f t="array" aca="1" ref="V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1" s="1" t="str" cm="1">
        <f t="array" aca="1" ref="W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1" s="1" t="str" cm="1">
        <f t="array" aca="1" ref="X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1" s="1" t="str" cm="1">
        <f t="array" aca="1" ref="Y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1" s="1" t="str" cm="1">
        <f t="array" aca="1" ref="Z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1" s="1" t="str" cm="1">
        <f t="array" aca="1" ref="AA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1" s="1" t="str" cm="1">
        <f t="array" aca="1" ref="AB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1" s="1" t="str" cm="1">
        <f t="array" aca="1" ref="AC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1" s="1" t="str" cm="1">
        <f t="array" aca="1" ref="AD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1" s="1" t="str" cm="1">
        <f t="array" aca="1" ref="AE23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2" spans="1:31">
      <c r="A232" s="1" t="str" cm="1">
        <f t="array" aca="1" ref="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2" s="1" t="str" cm="1">
        <f t="array" aca="1" ref="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2" s="1" t="str" cm="1">
        <f t="array" aca="1" ref="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2" s="1" t="str" cm="1">
        <f t="array" aca="1" ref="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2" s="1" t="str" cm="1">
        <f t="array" aca="1" ref="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2" s="1" t="str" cm="1">
        <f t="array" aca="1" ref="F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2" s="1" t="str" cm="1">
        <f t="array" aca="1" ref="G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2" s="1" t="str" cm="1">
        <f t="array" aca="1" ref="H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2" s="1" t="str" cm="1">
        <f t="array" aca="1" ref="I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2" s="1" t="str" cm="1">
        <f t="array" aca="1" ref="J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2" s="1" t="str" cm="1">
        <f t="array" aca="1" ref="K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2" s="1" t="str" cm="1">
        <f t="array" aca="1" ref="L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2" s="1" t="str" cm="1">
        <f t="array" aca="1" ref="M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2" s="1" t="str" cm="1">
        <f t="array" aca="1" ref="N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2" s="1" t="str" cm="1">
        <f t="array" aca="1" ref="O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2" s="1" t="str" cm="1">
        <f t="array" aca="1" ref="P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2" s="1" t="str" cm="1">
        <f t="array" aca="1" ref="Q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2" s="1" t="str" cm="1">
        <f t="array" aca="1" ref="R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2" s="1" t="str" cm="1">
        <f t="array" aca="1" ref="S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2" s="1" t="str" cm="1">
        <f t="array" aca="1" ref="T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2" s="1" t="str" cm="1">
        <f t="array" aca="1" ref="U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2" s="1" t="str" cm="1">
        <f t="array" aca="1" ref="V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2" s="1" t="str" cm="1">
        <f t="array" aca="1" ref="W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2" s="1" t="str" cm="1">
        <f t="array" aca="1" ref="X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2" s="1" t="str" cm="1">
        <f t="array" aca="1" ref="Y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2" s="1" t="str" cm="1">
        <f t="array" aca="1" ref="Z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2" s="1" t="str" cm="1">
        <f t="array" aca="1" ref="AA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2" s="1" t="str" cm="1">
        <f t="array" aca="1" ref="AB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2" s="1" t="str" cm="1">
        <f t="array" aca="1" ref="AC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2" s="1" t="str" cm="1">
        <f t="array" aca="1" ref="AD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2" s="1" t="str" cm="1">
        <f t="array" aca="1" ref="AE23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3" spans="1:31">
      <c r="A233" s="1" t="str" cm="1">
        <f t="array" aca="1" ref="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3" s="1" t="str" cm="1">
        <f t="array" aca="1" ref="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3" s="1" t="str" cm="1">
        <f t="array" aca="1" ref="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3" s="1" t="str" cm="1">
        <f t="array" aca="1" ref="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3" s="1" t="str" cm="1">
        <f t="array" aca="1" ref="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3" s="1" t="str" cm="1">
        <f t="array" aca="1" ref="F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3" s="1" t="str" cm="1">
        <f t="array" aca="1" ref="G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3" s="1" t="str" cm="1">
        <f t="array" aca="1" ref="H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3" s="1" t="str" cm="1">
        <f t="array" aca="1" ref="I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3" s="1" t="str" cm="1">
        <f t="array" aca="1" ref="J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3" s="1" t="str" cm="1">
        <f t="array" aca="1" ref="K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3" s="1" t="str" cm="1">
        <f t="array" aca="1" ref="L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3" s="1" t="str" cm="1">
        <f t="array" aca="1" ref="M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3" s="1" t="str" cm="1">
        <f t="array" aca="1" ref="N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3" s="1" t="str" cm="1">
        <f t="array" aca="1" ref="O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3" s="1" t="str" cm="1">
        <f t="array" aca="1" ref="P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3" s="1" t="str" cm="1">
        <f t="array" aca="1" ref="Q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3" s="1" t="str" cm="1">
        <f t="array" aca="1" ref="R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3" s="1" t="str" cm="1">
        <f t="array" aca="1" ref="S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3" s="1" t="str" cm="1">
        <f t="array" aca="1" ref="T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3" s="1" t="str" cm="1">
        <f t="array" aca="1" ref="U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3" s="1" t="str" cm="1">
        <f t="array" aca="1" ref="V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3" s="1" t="str" cm="1">
        <f t="array" aca="1" ref="W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3" s="1" t="str" cm="1">
        <f t="array" aca="1" ref="X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3" s="1" t="str" cm="1">
        <f t="array" aca="1" ref="Y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3" s="1" t="str" cm="1">
        <f t="array" aca="1" ref="Z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3" s="1" t="str" cm="1">
        <f t="array" aca="1" ref="AA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3" s="1" t="str" cm="1">
        <f t="array" aca="1" ref="AB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3" s="1" t="str" cm="1">
        <f t="array" aca="1" ref="AC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3" s="1" t="str" cm="1">
        <f t="array" aca="1" ref="AD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3" s="1" t="str" cm="1">
        <f t="array" aca="1" ref="AE23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4" spans="1:31">
      <c r="A234" s="1" t="str" cm="1">
        <f t="array" aca="1" ref="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4" s="1" t="str" cm="1">
        <f t="array" aca="1" ref="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4" s="1" t="str" cm="1">
        <f t="array" aca="1" ref="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4" s="1" t="str" cm="1">
        <f t="array" aca="1" ref="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4" s="1" t="str" cm="1">
        <f t="array" aca="1" ref="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4" s="1" t="str" cm="1">
        <f t="array" aca="1" ref="F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4" s="1" t="str" cm="1">
        <f t="array" aca="1" ref="G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4" s="1" t="str" cm="1">
        <f t="array" aca="1" ref="H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4" s="1" t="str" cm="1">
        <f t="array" aca="1" ref="I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4" s="1" t="str" cm="1">
        <f t="array" aca="1" ref="J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4" s="1" t="str" cm="1">
        <f t="array" aca="1" ref="K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4" s="1" t="str" cm="1">
        <f t="array" aca="1" ref="L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4" s="1" t="str" cm="1">
        <f t="array" aca="1" ref="M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4" s="1" t="str" cm="1">
        <f t="array" aca="1" ref="N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4" s="1" t="str" cm="1">
        <f t="array" aca="1" ref="O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4" s="1" t="str" cm="1">
        <f t="array" aca="1" ref="P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4" s="1" t="str" cm="1">
        <f t="array" aca="1" ref="Q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4" s="1" t="str" cm="1">
        <f t="array" aca="1" ref="R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4" s="1" t="str" cm="1">
        <f t="array" aca="1" ref="S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4" s="1" t="str" cm="1">
        <f t="array" aca="1" ref="T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4" s="1" t="str" cm="1">
        <f t="array" aca="1" ref="U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4" s="1" t="str" cm="1">
        <f t="array" aca="1" ref="V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4" s="1" t="str" cm="1">
        <f t="array" aca="1" ref="W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4" s="1" t="str" cm="1">
        <f t="array" aca="1" ref="X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4" s="1" t="str" cm="1">
        <f t="array" aca="1" ref="Y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4" s="1" t="str" cm="1">
        <f t="array" aca="1" ref="Z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4" s="1" t="str" cm="1">
        <f t="array" aca="1" ref="AA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4" s="1" t="str" cm="1">
        <f t="array" aca="1" ref="AB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4" s="1" t="str" cm="1">
        <f t="array" aca="1" ref="AC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4" s="1" t="str" cm="1">
        <f t="array" aca="1" ref="AD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4" s="1" t="str" cm="1">
        <f t="array" aca="1" ref="AE23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5" spans="1:31">
      <c r="A235" s="1" t="str" cm="1">
        <f t="array" aca="1" ref="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5" s="1" t="str" cm="1">
        <f t="array" aca="1" ref="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5" s="1" t="str" cm="1">
        <f t="array" aca="1" ref="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5" s="1" t="str" cm="1">
        <f t="array" aca="1" ref="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5" s="1" t="str" cm="1">
        <f t="array" aca="1" ref="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5" s="1" t="str" cm="1">
        <f t="array" aca="1" ref="F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5" s="1" t="str" cm="1">
        <f t="array" aca="1" ref="G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5" s="1" t="str" cm="1">
        <f t="array" aca="1" ref="H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5" s="1" t="str" cm="1">
        <f t="array" aca="1" ref="I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5" s="1" t="str" cm="1">
        <f t="array" aca="1" ref="J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5" s="1" t="str" cm="1">
        <f t="array" aca="1" ref="K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5" s="1" t="str" cm="1">
        <f t="array" aca="1" ref="L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5" s="1" t="str" cm="1">
        <f t="array" aca="1" ref="M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5" s="1" t="str" cm="1">
        <f t="array" aca="1" ref="N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5" s="1" t="str" cm="1">
        <f t="array" aca="1" ref="O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5" s="1" t="str" cm="1">
        <f t="array" aca="1" ref="P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5" s="1" t="str" cm="1">
        <f t="array" aca="1" ref="Q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5" s="1" t="str" cm="1">
        <f t="array" aca="1" ref="R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5" s="1" t="str" cm="1">
        <f t="array" aca="1" ref="S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5" s="1" t="str" cm="1">
        <f t="array" aca="1" ref="T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5" s="1" t="str" cm="1">
        <f t="array" aca="1" ref="U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5" s="1" t="str" cm="1">
        <f t="array" aca="1" ref="V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5" s="1" t="str" cm="1">
        <f t="array" aca="1" ref="W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5" s="1" t="str" cm="1">
        <f t="array" aca="1" ref="X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5" s="1" t="str" cm="1">
        <f t="array" aca="1" ref="Y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5" s="1" t="str" cm="1">
        <f t="array" aca="1" ref="Z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5" s="1" t="str" cm="1">
        <f t="array" aca="1" ref="AA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5" s="1" t="str" cm="1">
        <f t="array" aca="1" ref="AB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5" s="1" t="str" cm="1">
        <f t="array" aca="1" ref="AC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5" s="1" t="str" cm="1">
        <f t="array" aca="1" ref="AD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5" s="1" t="str" cm="1">
        <f t="array" aca="1" ref="AE23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6" spans="1:31">
      <c r="A236" s="1" t="str" cm="1">
        <f t="array" aca="1" ref="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6" s="1" t="str" cm="1">
        <f t="array" aca="1" ref="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6" s="1" t="str" cm="1">
        <f t="array" aca="1" ref="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6" s="1" t="str" cm="1">
        <f t="array" aca="1" ref="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6" s="1" t="str" cm="1">
        <f t="array" aca="1" ref="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6" s="1" t="str" cm="1">
        <f t="array" aca="1" ref="F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6" s="1" t="str" cm="1">
        <f t="array" aca="1" ref="G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6" s="1" t="str" cm="1">
        <f t="array" aca="1" ref="H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6" s="1" t="str" cm="1">
        <f t="array" aca="1" ref="I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6" s="1" t="str" cm="1">
        <f t="array" aca="1" ref="J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6" s="1" t="str" cm="1">
        <f t="array" aca="1" ref="K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6" s="1" t="str" cm="1">
        <f t="array" aca="1" ref="L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6" s="1" t="str" cm="1">
        <f t="array" aca="1" ref="M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6" s="1" t="str" cm="1">
        <f t="array" aca="1" ref="N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6" s="1" t="str" cm="1">
        <f t="array" aca="1" ref="O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6" s="1" t="str" cm="1">
        <f t="array" aca="1" ref="P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6" s="1" t="str" cm="1">
        <f t="array" aca="1" ref="Q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6" s="1" t="str" cm="1">
        <f t="array" aca="1" ref="R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6" s="1" t="str" cm="1">
        <f t="array" aca="1" ref="S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6" s="1" t="str" cm="1">
        <f t="array" aca="1" ref="T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6" s="1" t="str" cm="1">
        <f t="array" aca="1" ref="U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6" s="1" t="str" cm="1">
        <f t="array" aca="1" ref="V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6" s="1" t="str" cm="1">
        <f t="array" aca="1" ref="W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6" s="1" t="str" cm="1">
        <f t="array" aca="1" ref="X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6" s="1" t="str" cm="1">
        <f t="array" aca="1" ref="Y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6" s="1" t="str" cm="1">
        <f t="array" aca="1" ref="Z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6" s="1" t="str" cm="1">
        <f t="array" aca="1" ref="AA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6" s="1" t="str" cm="1">
        <f t="array" aca="1" ref="AB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6" s="1" t="str" cm="1">
        <f t="array" aca="1" ref="AC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6" s="1" t="str" cm="1">
        <f t="array" aca="1" ref="AD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6" s="1" t="str" cm="1">
        <f t="array" aca="1" ref="AE23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7" spans="1:31">
      <c r="A237" s="1" t="str" cm="1">
        <f t="array" aca="1" ref="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7" s="1" t="str" cm="1">
        <f t="array" aca="1" ref="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7" s="1" t="str" cm="1">
        <f t="array" aca="1" ref="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7" s="1" t="str" cm="1">
        <f t="array" aca="1" ref="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7" s="1" t="str" cm="1">
        <f t="array" aca="1" ref="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7" s="1" t="str" cm="1">
        <f t="array" aca="1" ref="F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7" s="1" t="str" cm="1">
        <f t="array" aca="1" ref="G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7" s="1" t="str" cm="1">
        <f t="array" aca="1" ref="H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7" s="1" t="str" cm="1">
        <f t="array" aca="1" ref="I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7" s="1" t="str" cm="1">
        <f t="array" aca="1" ref="J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7" s="1" t="str" cm="1">
        <f t="array" aca="1" ref="K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7" s="1" t="str" cm="1">
        <f t="array" aca="1" ref="L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7" s="1" t="str" cm="1">
        <f t="array" aca="1" ref="M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7" s="1" t="str" cm="1">
        <f t="array" aca="1" ref="N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7" s="1" t="str" cm="1">
        <f t="array" aca="1" ref="O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7" s="1" t="str" cm="1">
        <f t="array" aca="1" ref="P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7" s="1" t="str" cm="1">
        <f t="array" aca="1" ref="Q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7" s="1" t="str" cm="1">
        <f t="array" aca="1" ref="R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7" s="1" t="str" cm="1">
        <f t="array" aca="1" ref="S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7" s="1" t="str" cm="1">
        <f t="array" aca="1" ref="T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7" s="1" t="str" cm="1">
        <f t="array" aca="1" ref="U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7" s="1" t="str" cm="1">
        <f t="array" aca="1" ref="V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7" s="1" t="str" cm="1">
        <f t="array" aca="1" ref="W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7" s="1" t="str" cm="1">
        <f t="array" aca="1" ref="X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7" s="1" t="str" cm="1">
        <f t="array" aca="1" ref="Y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7" s="1" t="str" cm="1">
        <f t="array" aca="1" ref="Z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7" s="1" t="str" cm="1">
        <f t="array" aca="1" ref="AA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7" s="1" t="str" cm="1">
        <f t="array" aca="1" ref="AB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7" s="1" t="str" cm="1">
        <f t="array" aca="1" ref="AC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7" s="1" t="str" cm="1">
        <f t="array" aca="1" ref="AD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7" s="1" t="str" cm="1">
        <f t="array" aca="1" ref="AE23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8" spans="1:31">
      <c r="A238" s="1" t="str" cm="1">
        <f t="array" aca="1" ref="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8" s="1" t="str" cm="1">
        <f t="array" aca="1" ref="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8" s="1" t="str" cm="1">
        <f t="array" aca="1" ref="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8" s="1" t="str" cm="1">
        <f t="array" aca="1" ref="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8" s="1" t="str" cm="1">
        <f t="array" aca="1" ref="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8" s="1" t="str" cm="1">
        <f t="array" aca="1" ref="F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8" s="1" t="str" cm="1">
        <f t="array" aca="1" ref="G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8" s="1" t="str" cm="1">
        <f t="array" aca="1" ref="H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8" s="1" t="str" cm="1">
        <f t="array" aca="1" ref="I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8" s="1" t="str" cm="1">
        <f t="array" aca="1" ref="J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8" s="1" t="str" cm="1">
        <f t="array" aca="1" ref="K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8" s="1" t="str" cm="1">
        <f t="array" aca="1" ref="L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8" s="1" t="str" cm="1">
        <f t="array" aca="1" ref="M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8" s="1" t="str" cm="1">
        <f t="array" aca="1" ref="N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8" s="1" t="str" cm="1">
        <f t="array" aca="1" ref="O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8" s="1" t="str" cm="1">
        <f t="array" aca="1" ref="P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8" s="1" t="str" cm="1">
        <f t="array" aca="1" ref="Q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8" s="1" t="str" cm="1">
        <f t="array" aca="1" ref="R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8" s="1" t="str" cm="1">
        <f t="array" aca="1" ref="S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8" s="1" t="str" cm="1">
        <f t="array" aca="1" ref="T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8" s="1" t="str" cm="1">
        <f t="array" aca="1" ref="U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8" s="1" t="str" cm="1">
        <f t="array" aca="1" ref="V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8" s="1" t="str" cm="1">
        <f t="array" aca="1" ref="W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8" s="1" t="str" cm="1">
        <f t="array" aca="1" ref="X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8" s="1" t="str" cm="1">
        <f t="array" aca="1" ref="Y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8" s="1" t="str" cm="1">
        <f t="array" aca="1" ref="Z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8" s="1" t="str" cm="1">
        <f t="array" aca="1" ref="AA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8" s="1" t="str" cm="1">
        <f t="array" aca="1" ref="AB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8" s="1" t="str" cm="1">
        <f t="array" aca="1" ref="AC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8" s="1" t="str" cm="1">
        <f t="array" aca="1" ref="AD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8" s="1" t="str" cm="1">
        <f t="array" aca="1" ref="AE23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39" spans="1:31">
      <c r="A239" s="1" t="str" cm="1">
        <f t="array" aca="1" ref="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39" s="1" t="str" cm="1">
        <f t="array" aca="1" ref="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39" s="1" t="str" cm="1">
        <f t="array" aca="1" ref="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39" s="1" t="str" cm="1">
        <f t="array" aca="1" ref="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39" s="1" t="str" cm="1">
        <f t="array" aca="1" ref="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39" s="1" t="str" cm="1">
        <f t="array" aca="1" ref="F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39" s="1" t="str" cm="1">
        <f t="array" aca="1" ref="G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39" s="1" t="str" cm="1">
        <f t="array" aca="1" ref="H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39" s="1" t="str" cm="1">
        <f t="array" aca="1" ref="I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39" s="1" t="str" cm="1">
        <f t="array" aca="1" ref="J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39" s="1" t="str" cm="1">
        <f t="array" aca="1" ref="K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39" s="1" t="str" cm="1">
        <f t="array" aca="1" ref="L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39" s="1" t="str" cm="1">
        <f t="array" aca="1" ref="M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39" s="1" t="str" cm="1">
        <f t="array" aca="1" ref="N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39" s="1" t="str" cm="1">
        <f t="array" aca="1" ref="O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39" s="1" t="str" cm="1">
        <f t="array" aca="1" ref="P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39" s="1" t="str" cm="1">
        <f t="array" aca="1" ref="Q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39" s="1" t="str" cm="1">
        <f t="array" aca="1" ref="R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39" s="1" t="str" cm="1">
        <f t="array" aca="1" ref="S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39" s="1" t="str" cm="1">
        <f t="array" aca="1" ref="T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39" s="1" t="str" cm="1">
        <f t="array" aca="1" ref="U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39" s="1" t="str" cm="1">
        <f t="array" aca="1" ref="V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39" s="1" t="str" cm="1">
        <f t="array" aca="1" ref="W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39" s="1" t="str" cm="1">
        <f t="array" aca="1" ref="X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39" s="1" t="str" cm="1">
        <f t="array" aca="1" ref="Y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39" s="1" t="str" cm="1">
        <f t="array" aca="1" ref="Z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39" s="1" t="str" cm="1">
        <f t="array" aca="1" ref="AA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39" s="1" t="str" cm="1">
        <f t="array" aca="1" ref="AB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39" s="1" t="str" cm="1">
        <f t="array" aca="1" ref="AC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39" s="1" t="str" cm="1">
        <f t="array" aca="1" ref="AD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39" s="1" t="str" cm="1">
        <f t="array" aca="1" ref="AE23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0" spans="1:31">
      <c r="A240" s="1" t="str" cm="1">
        <f t="array" aca="1" ref="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0" s="1" t="str" cm="1">
        <f t="array" aca="1" ref="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0" s="1" t="str" cm="1">
        <f t="array" aca="1" ref="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0" s="1" t="str" cm="1">
        <f t="array" aca="1" ref="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0" s="1" t="str" cm="1">
        <f t="array" aca="1" ref="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0" s="1" t="str" cm="1">
        <f t="array" aca="1" ref="F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0" s="1" t="str" cm="1">
        <f t="array" aca="1" ref="G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0" s="1" t="str" cm="1">
        <f t="array" aca="1" ref="H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0" s="1" t="str" cm="1">
        <f t="array" aca="1" ref="I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0" s="1" t="str" cm="1">
        <f t="array" aca="1" ref="J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0" s="1" t="str" cm="1">
        <f t="array" aca="1" ref="K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0" s="1" t="str" cm="1">
        <f t="array" aca="1" ref="L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0" s="1" t="str" cm="1">
        <f t="array" aca="1" ref="M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0" s="1" t="str" cm="1">
        <f t="array" aca="1" ref="N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0" s="1" t="str" cm="1">
        <f t="array" aca="1" ref="O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0" s="1" t="str" cm="1">
        <f t="array" aca="1" ref="P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0" s="1" t="str" cm="1">
        <f t="array" aca="1" ref="Q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0" s="1" t="str" cm="1">
        <f t="array" aca="1" ref="R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0" s="1" t="str" cm="1">
        <f t="array" aca="1" ref="S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0" s="1" t="str" cm="1">
        <f t="array" aca="1" ref="T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0" s="1" t="str" cm="1">
        <f t="array" aca="1" ref="U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0" s="1" t="str" cm="1">
        <f t="array" aca="1" ref="V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0" s="1" t="str" cm="1">
        <f t="array" aca="1" ref="W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0" s="1" t="str" cm="1">
        <f t="array" aca="1" ref="X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0" s="1" t="str" cm="1">
        <f t="array" aca="1" ref="Y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0" s="1" t="str" cm="1">
        <f t="array" aca="1" ref="Z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0" s="1" t="str" cm="1">
        <f t="array" aca="1" ref="AA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0" s="1" t="str" cm="1">
        <f t="array" aca="1" ref="AB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0" s="1" t="str" cm="1">
        <f t="array" aca="1" ref="AC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0" s="1" t="str" cm="1">
        <f t="array" aca="1" ref="AD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0" s="1" t="str" cm="1">
        <f t="array" aca="1" ref="AE24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1" spans="1:31">
      <c r="A241" s="1" t="str" cm="1">
        <f t="array" aca="1" ref="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1" s="1" t="str" cm="1">
        <f t="array" aca="1" ref="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1" s="1" t="str" cm="1">
        <f t="array" aca="1" ref="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1" s="1" t="str" cm="1">
        <f t="array" aca="1" ref="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1" s="1" t="str" cm="1">
        <f t="array" aca="1" ref="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1" s="1" t="str" cm="1">
        <f t="array" aca="1" ref="F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1" s="1" t="str" cm="1">
        <f t="array" aca="1" ref="G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1" s="1" t="str" cm="1">
        <f t="array" aca="1" ref="H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1" s="1" t="str" cm="1">
        <f t="array" aca="1" ref="I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1" s="1" t="str" cm="1">
        <f t="array" aca="1" ref="J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1" s="1" t="str" cm="1">
        <f t="array" aca="1" ref="K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1" s="1" t="str" cm="1">
        <f t="array" aca="1" ref="L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1" s="1" t="str" cm="1">
        <f t="array" aca="1" ref="M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1" s="1" t="str" cm="1">
        <f t="array" aca="1" ref="N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1" s="1" t="str" cm="1">
        <f t="array" aca="1" ref="O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1" s="1" t="str" cm="1">
        <f t="array" aca="1" ref="P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1" s="1" t="str" cm="1">
        <f t="array" aca="1" ref="Q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1" s="1" t="str" cm="1">
        <f t="array" aca="1" ref="R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1" s="1" t="str" cm="1">
        <f t="array" aca="1" ref="S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1" s="1" t="str" cm="1">
        <f t="array" aca="1" ref="T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1" s="1" t="str" cm="1">
        <f t="array" aca="1" ref="U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1" s="1" t="str" cm="1">
        <f t="array" aca="1" ref="V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1" s="1" t="str" cm="1">
        <f t="array" aca="1" ref="W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1" s="1" t="str" cm="1">
        <f t="array" aca="1" ref="X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1" s="1" t="str" cm="1">
        <f t="array" aca="1" ref="Y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1" s="1" t="str" cm="1">
        <f t="array" aca="1" ref="Z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1" s="1" t="str" cm="1">
        <f t="array" aca="1" ref="AA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1" s="1" t="str" cm="1">
        <f t="array" aca="1" ref="AB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1" s="1" t="str" cm="1">
        <f t="array" aca="1" ref="AC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1" s="1" t="str" cm="1">
        <f t="array" aca="1" ref="AD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1" s="1" t="str" cm="1">
        <f t="array" aca="1" ref="AE24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2" spans="1:31">
      <c r="A242" s="1" t="str" cm="1">
        <f t="array" aca="1" ref="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2" s="1" t="str" cm="1">
        <f t="array" aca="1" ref="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2" s="1" t="str" cm="1">
        <f t="array" aca="1" ref="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2" s="1" t="str" cm="1">
        <f t="array" aca="1" ref="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2" s="1" t="str" cm="1">
        <f t="array" aca="1" ref="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2" s="1" t="str" cm="1">
        <f t="array" aca="1" ref="F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2" s="1" t="str" cm="1">
        <f t="array" aca="1" ref="G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2" s="1" t="str" cm="1">
        <f t="array" aca="1" ref="H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2" s="1" t="str" cm="1">
        <f t="array" aca="1" ref="I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2" s="1" t="str" cm="1">
        <f t="array" aca="1" ref="J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2" s="1" t="str" cm="1">
        <f t="array" aca="1" ref="K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2" s="1" t="str" cm="1">
        <f t="array" aca="1" ref="L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2" s="1" t="str" cm="1">
        <f t="array" aca="1" ref="M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2" s="1" t="str" cm="1">
        <f t="array" aca="1" ref="N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2" s="1" t="str" cm="1">
        <f t="array" aca="1" ref="O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2" s="1" t="str" cm="1">
        <f t="array" aca="1" ref="P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2" s="1" t="str" cm="1">
        <f t="array" aca="1" ref="Q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2" s="1" t="str" cm="1">
        <f t="array" aca="1" ref="R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2" s="1" t="str" cm="1">
        <f t="array" aca="1" ref="S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2" s="1" t="str" cm="1">
        <f t="array" aca="1" ref="T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2" s="1" t="str" cm="1">
        <f t="array" aca="1" ref="U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2" s="1" t="str" cm="1">
        <f t="array" aca="1" ref="V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2" s="1" t="str" cm="1">
        <f t="array" aca="1" ref="W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2" s="1" t="str" cm="1">
        <f t="array" aca="1" ref="X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2" s="1" t="str" cm="1">
        <f t="array" aca="1" ref="Y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2" s="1" t="str" cm="1">
        <f t="array" aca="1" ref="Z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2" s="1" t="str" cm="1">
        <f t="array" aca="1" ref="AA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2" s="1" t="str" cm="1">
        <f t="array" aca="1" ref="AB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2" s="1" t="str" cm="1">
        <f t="array" aca="1" ref="AC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2" s="1" t="str" cm="1">
        <f t="array" aca="1" ref="AD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2" s="1" t="str" cm="1">
        <f t="array" aca="1" ref="AE24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3" spans="1:31">
      <c r="A243" s="1" t="str" cm="1">
        <f t="array" aca="1" ref="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3" s="1" t="str" cm="1">
        <f t="array" aca="1" ref="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3" s="1" t="str" cm="1">
        <f t="array" aca="1" ref="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3" s="1" t="str" cm="1">
        <f t="array" aca="1" ref="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3" s="1" t="str" cm="1">
        <f t="array" aca="1" ref="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3" s="1" t="str" cm="1">
        <f t="array" aca="1" ref="F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3" s="1" t="str" cm="1">
        <f t="array" aca="1" ref="G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3" s="1" t="str" cm="1">
        <f t="array" aca="1" ref="H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3" s="1" t="str" cm="1">
        <f t="array" aca="1" ref="I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3" s="1" t="str" cm="1">
        <f t="array" aca="1" ref="J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3" s="1" t="str" cm="1">
        <f t="array" aca="1" ref="K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3" s="1" t="str" cm="1">
        <f t="array" aca="1" ref="L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3" s="1" t="str" cm="1">
        <f t="array" aca="1" ref="M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3" s="1" t="str" cm="1">
        <f t="array" aca="1" ref="N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3" s="1" t="str" cm="1">
        <f t="array" aca="1" ref="O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3" s="1" t="str" cm="1">
        <f t="array" aca="1" ref="P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3" s="1" t="str" cm="1">
        <f t="array" aca="1" ref="Q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3" s="1" t="str" cm="1">
        <f t="array" aca="1" ref="R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3" s="1" t="str" cm="1">
        <f t="array" aca="1" ref="S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3" s="1" t="str" cm="1">
        <f t="array" aca="1" ref="T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3" s="1" t="str" cm="1">
        <f t="array" aca="1" ref="U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3" s="1" t="str" cm="1">
        <f t="array" aca="1" ref="V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3" s="1" t="str" cm="1">
        <f t="array" aca="1" ref="W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3" s="1" t="str" cm="1">
        <f t="array" aca="1" ref="X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3" s="1" t="str" cm="1">
        <f t="array" aca="1" ref="Y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3" s="1" t="str" cm="1">
        <f t="array" aca="1" ref="Z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3" s="1" t="str" cm="1">
        <f t="array" aca="1" ref="AA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3" s="1" t="str" cm="1">
        <f t="array" aca="1" ref="AB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3" s="1" t="str" cm="1">
        <f t="array" aca="1" ref="AC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3" s="1" t="str" cm="1">
        <f t="array" aca="1" ref="AD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3" s="1" t="str" cm="1">
        <f t="array" aca="1" ref="AE24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4" spans="1:31">
      <c r="A244" s="1" t="str" cm="1">
        <f t="array" aca="1" ref="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4" s="1" t="str" cm="1">
        <f t="array" aca="1" ref="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4" s="1" t="str" cm="1">
        <f t="array" aca="1" ref="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4" s="1" t="str" cm="1">
        <f t="array" aca="1" ref="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4" s="1" t="str" cm="1">
        <f t="array" aca="1" ref="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4" s="1" t="str" cm="1">
        <f t="array" aca="1" ref="F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4" s="1" t="str" cm="1">
        <f t="array" aca="1" ref="G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4" s="1" t="str" cm="1">
        <f t="array" aca="1" ref="H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4" s="1" t="str" cm="1">
        <f t="array" aca="1" ref="I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4" s="1" t="str" cm="1">
        <f t="array" aca="1" ref="J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4" s="1" t="str" cm="1">
        <f t="array" aca="1" ref="K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4" s="1" t="str" cm="1">
        <f t="array" aca="1" ref="L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4" s="1" t="str" cm="1">
        <f t="array" aca="1" ref="M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4" s="1" t="str" cm="1">
        <f t="array" aca="1" ref="N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4" s="1" t="str" cm="1">
        <f t="array" aca="1" ref="O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4" s="1" t="str" cm="1">
        <f t="array" aca="1" ref="P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4" s="1" t="str" cm="1">
        <f t="array" aca="1" ref="Q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4" s="1" t="str" cm="1">
        <f t="array" aca="1" ref="R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4" s="1" t="str" cm="1">
        <f t="array" aca="1" ref="S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4" s="1" t="str" cm="1">
        <f t="array" aca="1" ref="T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4" s="1" t="str" cm="1">
        <f t="array" aca="1" ref="U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4" s="1" t="str" cm="1">
        <f t="array" aca="1" ref="V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4" s="1" t="str" cm="1">
        <f t="array" aca="1" ref="W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4" s="1" t="str" cm="1">
        <f t="array" aca="1" ref="X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4" s="1" t="str" cm="1">
        <f t="array" aca="1" ref="Y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4" s="1" t="str" cm="1">
        <f t="array" aca="1" ref="Z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4" s="1" t="str" cm="1">
        <f t="array" aca="1" ref="AA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4" s="1" t="str" cm="1">
        <f t="array" aca="1" ref="AB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4" s="1" t="str" cm="1">
        <f t="array" aca="1" ref="AC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4" s="1" t="str" cm="1">
        <f t="array" aca="1" ref="AD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4" s="1" t="str" cm="1">
        <f t="array" aca="1" ref="AE24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5" spans="1:31">
      <c r="A245" s="1" t="str" cm="1">
        <f t="array" aca="1" ref="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5" s="1" t="str" cm="1">
        <f t="array" aca="1" ref="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5" s="1" t="str" cm="1">
        <f t="array" aca="1" ref="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5" s="1" t="str" cm="1">
        <f t="array" aca="1" ref="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5" s="1" t="str" cm="1">
        <f t="array" aca="1" ref="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5" s="1" t="str" cm="1">
        <f t="array" aca="1" ref="F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5" s="1" t="str" cm="1">
        <f t="array" aca="1" ref="G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5" s="1" t="str" cm="1">
        <f t="array" aca="1" ref="H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5" s="1" t="str" cm="1">
        <f t="array" aca="1" ref="I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5" s="1" t="str" cm="1">
        <f t="array" aca="1" ref="J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5" s="1" t="str" cm="1">
        <f t="array" aca="1" ref="K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5" s="1" t="str" cm="1">
        <f t="array" aca="1" ref="L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5" s="1" t="str" cm="1">
        <f t="array" aca="1" ref="M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5" s="1" t="str" cm="1">
        <f t="array" aca="1" ref="N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5" s="1" t="str" cm="1">
        <f t="array" aca="1" ref="O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5" s="1" t="str" cm="1">
        <f t="array" aca="1" ref="P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5" s="1" t="str" cm="1">
        <f t="array" aca="1" ref="Q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5" s="1" t="str" cm="1">
        <f t="array" aca="1" ref="R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5" s="1" t="str" cm="1">
        <f t="array" aca="1" ref="S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5" s="1" t="str" cm="1">
        <f t="array" aca="1" ref="T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5" s="1" t="str" cm="1">
        <f t="array" aca="1" ref="U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5" s="1" t="str" cm="1">
        <f t="array" aca="1" ref="V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5" s="1" t="str" cm="1">
        <f t="array" aca="1" ref="W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5" s="1" t="str" cm="1">
        <f t="array" aca="1" ref="X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5" s="1" t="str" cm="1">
        <f t="array" aca="1" ref="Y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5" s="1" t="str" cm="1">
        <f t="array" aca="1" ref="Z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5" s="1" t="str" cm="1">
        <f t="array" aca="1" ref="AA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5" s="1" t="str" cm="1">
        <f t="array" aca="1" ref="AB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5" s="1" t="str" cm="1">
        <f t="array" aca="1" ref="AC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5" s="1" t="str" cm="1">
        <f t="array" aca="1" ref="AD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5" s="1" t="str" cm="1">
        <f t="array" aca="1" ref="AE24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6" spans="1:31">
      <c r="A246" s="1" t="str" cm="1">
        <f t="array" aca="1" ref="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6" s="1" t="str" cm="1">
        <f t="array" aca="1" ref="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6" s="1" t="str" cm="1">
        <f t="array" aca="1" ref="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6" s="1" t="str" cm="1">
        <f t="array" aca="1" ref="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6" s="1" t="str" cm="1">
        <f t="array" aca="1" ref="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6" s="1" t="str" cm="1">
        <f t="array" aca="1" ref="F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6" s="1" t="str" cm="1">
        <f t="array" aca="1" ref="G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6" s="1" t="str" cm="1">
        <f t="array" aca="1" ref="H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6" s="1" t="str" cm="1">
        <f t="array" aca="1" ref="I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6" s="1" t="str" cm="1">
        <f t="array" aca="1" ref="J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6" s="1" t="str" cm="1">
        <f t="array" aca="1" ref="K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6" s="1" t="str" cm="1">
        <f t="array" aca="1" ref="L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6" s="1" t="str" cm="1">
        <f t="array" aca="1" ref="M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6" s="1" t="str" cm="1">
        <f t="array" aca="1" ref="N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6" s="1" t="str" cm="1">
        <f t="array" aca="1" ref="O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6" s="1" t="str" cm="1">
        <f t="array" aca="1" ref="P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6" s="1" t="str" cm="1">
        <f t="array" aca="1" ref="Q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6" s="1" t="str" cm="1">
        <f t="array" aca="1" ref="R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6" s="1" t="str" cm="1">
        <f t="array" aca="1" ref="S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6" s="1" t="str" cm="1">
        <f t="array" aca="1" ref="T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6" s="1" t="str" cm="1">
        <f t="array" aca="1" ref="U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6" s="1" t="str" cm="1">
        <f t="array" aca="1" ref="V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6" s="1" t="str" cm="1">
        <f t="array" aca="1" ref="W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6" s="1" t="str" cm="1">
        <f t="array" aca="1" ref="X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6" s="1" t="str" cm="1">
        <f t="array" aca="1" ref="Y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6" s="1" t="str" cm="1">
        <f t="array" aca="1" ref="Z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6" s="1" t="str" cm="1">
        <f t="array" aca="1" ref="AA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6" s="1" t="str" cm="1">
        <f t="array" aca="1" ref="AB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6" s="1" t="str" cm="1">
        <f t="array" aca="1" ref="AC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6" s="1" t="str" cm="1">
        <f t="array" aca="1" ref="AD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6" s="1" t="str" cm="1">
        <f t="array" aca="1" ref="AE246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7" spans="1:31">
      <c r="A247" s="1" t="str" cm="1">
        <f t="array" aca="1" ref="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7" s="1" t="str" cm="1">
        <f t="array" aca="1" ref="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7" s="1" t="str" cm="1">
        <f t="array" aca="1" ref="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7" s="1" t="str" cm="1">
        <f t="array" aca="1" ref="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7" s="1" t="str" cm="1">
        <f t="array" aca="1" ref="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7" s="1" t="str" cm="1">
        <f t="array" aca="1" ref="F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7" s="1" t="str" cm="1">
        <f t="array" aca="1" ref="G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7" s="1" t="str" cm="1">
        <f t="array" aca="1" ref="H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7" s="1" t="str" cm="1">
        <f t="array" aca="1" ref="I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7" s="1" t="str" cm="1">
        <f t="array" aca="1" ref="J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7" s="1" t="str" cm="1">
        <f t="array" aca="1" ref="K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7" s="1" t="str" cm="1">
        <f t="array" aca="1" ref="L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7" s="1" t="str" cm="1">
        <f t="array" aca="1" ref="M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7" s="1" t="str" cm="1">
        <f t="array" aca="1" ref="N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7" s="1" t="str" cm="1">
        <f t="array" aca="1" ref="O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7" s="1" t="str" cm="1">
        <f t="array" aca="1" ref="P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7" s="1" t="str" cm="1">
        <f t="array" aca="1" ref="Q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7" s="1" t="str" cm="1">
        <f t="array" aca="1" ref="R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7" s="1" t="str" cm="1">
        <f t="array" aca="1" ref="S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7" s="1" t="str" cm="1">
        <f t="array" aca="1" ref="T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7" s="1" t="str" cm="1">
        <f t="array" aca="1" ref="U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7" s="1" t="str" cm="1">
        <f t="array" aca="1" ref="V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7" s="1" t="str" cm="1">
        <f t="array" aca="1" ref="W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7" s="1" t="str" cm="1">
        <f t="array" aca="1" ref="X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7" s="1" t="str" cm="1">
        <f t="array" aca="1" ref="Y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7" s="1" t="str" cm="1">
        <f t="array" aca="1" ref="Z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7" s="1" t="str" cm="1">
        <f t="array" aca="1" ref="AA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7" s="1" t="str" cm="1">
        <f t="array" aca="1" ref="AB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7" s="1" t="str" cm="1">
        <f t="array" aca="1" ref="AC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7" s="1" t="str" cm="1">
        <f t="array" aca="1" ref="AD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7" s="1" t="str" cm="1">
        <f t="array" aca="1" ref="AE247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8" spans="1:31">
      <c r="A248" s="1" t="str" cm="1">
        <f t="array" aca="1" ref="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8" s="1" t="str" cm="1">
        <f t="array" aca="1" ref="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8" s="1" t="str" cm="1">
        <f t="array" aca="1" ref="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8" s="1" t="str" cm="1">
        <f t="array" aca="1" ref="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8" s="1" t="str" cm="1">
        <f t="array" aca="1" ref="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8" s="1" t="str" cm="1">
        <f t="array" aca="1" ref="F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8" s="1" t="str" cm="1">
        <f t="array" aca="1" ref="G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8" s="1" t="str" cm="1">
        <f t="array" aca="1" ref="H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8" s="1" t="str" cm="1">
        <f t="array" aca="1" ref="I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8" s="1" t="str" cm="1">
        <f t="array" aca="1" ref="J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8" s="1" t="str" cm="1">
        <f t="array" aca="1" ref="K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8" s="1" t="str" cm="1">
        <f t="array" aca="1" ref="L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8" s="1" t="str" cm="1">
        <f t="array" aca="1" ref="M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8" s="1" t="str" cm="1">
        <f t="array" aca="1" ref="N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8" s="1" t="str" cm="1">
        <f t="array" aca="1" ref="O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8" s="1" t="str" cm="1">
        <f t="array" aca="1" ref="P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8" s="1" t="str" cm="1">
        <f t="array" aca="1" ref="Q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8" s="1" t="str" cm="1">
        <f t="array" aca="1" ref="R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8" s="1" t="str" cm="1">
        <f t="array" aca="1" ref="S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8" s="1" t="str" cm="1">
        <f t="array" aca="1" ref="T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8" s="1" t="str" cm="1">
        <f t="array" aca="1" ref="U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8" s="1" t="str" cm="1">
        <f t="array" aca="1" ref="V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8" s="1" t="str" cm="1">
        <f t="array" aca="1" ref="W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8" s="1" t="str" cm="1">
        <f t="array" aca="1" ref="X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8" s="1" t="str" cm="1">
        <f t="array" aca="1" ref="Y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8" s="1" t="str" cm="1">
        <f t="array" aca="1" ref="Z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8" s="1" t="str" cm="1">
        <f t="array" aca="1" ref="AA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8" s="1" t="str" cm="1">
        <f t="array" aca="1" ref="AB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8" s="1" t="str" cm="1">
        <f t="array" aca="1" ref="AC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8" s="1" t="str" cm="1">
        <f t="array" aca="1" ref="AD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8" s="1" t="str" cm="1">
        <f t="array" aca="1" ref="AE248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49" spans="1:31">
      <c r="A249" s="1" t="str" cm="1">
        <f t="array" aca="1" ref="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49" s="1" t="str" cm="1">
        <f t="array" aca="1" ref="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49" s="1" t="str" cm="1">
        <f t="array" aca="1" ref="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49" s="1" t="str" cm="1">
        <f t="array" aca="1" ref="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49" s="1" t="str" cm="1">
        <f t="array" aca="1" ref="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49" s="1" t="str" cm="1">
        <f t="array" aca="1" ref="F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49" s="1" t="str" cm="1">
        <f t="array" aca="1" ref="G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49" s="1" t="str" cm="1">
        <f t="array" aca="1" ref="H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49" s="1" t="str" cm="1">
        <f t="array" aca="1" ref="I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49" s="1" t="str" cm="1">
        <f t="array" aca="1" ref="J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49" s="1" t="str" cm="1">
        <f t="array" aca="1" ref="K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49" s="1" t="str" cm="1">
        <f t="array" aca="1" ref="L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49" s="1" t="str" cm="1">
        <f t="array" aca="1" ref="M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49" s="1" t="str" cm="1">
        <f t="array" aca="1" ref="N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49" s="1" t="str" cm="1">
        <f t="array" aca="1" ref="O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49" s="1" t="str" cm="1">
        <f t="array" aca="1" ref="P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49" s="1" t="str" cm="1">
        <f t="array" aca="1" ref="Q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49" s="1" t="str" cm="1">
        <f t="array" aca="1" ref="R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49" s="1" t="str" cm="1">
        <f t="array" aca="1" ref="S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49" s="1" t="str" cm="1">
        <f t="array" aca="1" ref="T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49" s="1" t="str" cm="1">
        <f t="array" aca="1" ref="U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49" s="1" t="str" cm="1">
        <f t="array" aca="1" ref="V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49" s="1" t="str" cm="1">
        <f t="array" aca="1" ref="W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49" s="1" t="str" cm="1">
        <f t="array" aca="1" ref="X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49" s="1" t="str" cm="1">
        <f t="array" aca="1" ref="Y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49" s="1" t="str" cm="1">
        <f t="array" aca="1" ref="Z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49" s="1" t="str" cm="1">
        <f t="array" aca="1" ref="AA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49" s="1" t="str" cm="1">
        <f t="array" aca="1" ref="AB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49" s="1" t="str" cm="1">
        <f t="array" aca="1" ref="AC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49" s="1" t="str" cm="1">
        <f t="array" aca="1" ref="AD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49" s="1" t="str" cm="1">
        <f t="array" aca="1" ref="AE249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0" spans="1:31">
      <c r="A250" s="1" t="str" cm="1">
        <f t="array" aca="1" ref="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0" s="1" t="str" cm="1">
        <f t="array" aca="1" ref="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0" s="1" t="str" cm="1">
        <f t="array" aca="1" ref="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0" s="1" t="str" cm="1">
        <f t="array" aca="1" ref="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0" s="1" t="str" cm="1">
        <f t="array" aca="1" ref="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0" s="1" t="str" cm="1">
        <f t="array" aca="1" ref="F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0" s="1" t="str" cm="1">
        <f t="array" aca="1" ref="G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0" s="1" t="str" cm="1">
        <f t="array" aca="1" ref="H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0" s="1" t="str" cm="1">
        <f t="array" aca="1" ref="I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0" s="1" t="str" cm="1">
        <f t="array" aca="1" ref="J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0" s="1" t="str" cm="1">
        <f t="array" aca="1" ref="K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0" s="1" t="str" cm="1">
        <f t="array" aca="1" ref="L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0" s="1" t="str" cm="1">
        <f t="array" aca="1" ref="M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0" s="1" t="str" cm="1">
        <f t="array" aca="1" ref="N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0" s="1" t="str" cm="1">
        <f t="array" aca="1" ref="O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0" s="1" t="str" cm="1">
        <f t="array" aca="1" ref="P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0" s="1" t="str" cm="1">
        <f t="array" aca="1" ref="Q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0" s="1" t="str" cm="1">
        <f t="array" aca="1" ref="R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0" s="1" t="str" cm="1">
        <f t="array" aca="1" ref="S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0" s="1" t="str" cm="1">
        <f t="array" aca="1" ref="T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0" s="1" t="str" cm="1">
        <f t="array" aca="1" ref="U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0" s="1" t="str" cm="1">
        <f t="array" aca="1" ref="V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0" s="1" t="str" cm="1">
        <f t="array" aca="1" ref="W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0" s="1" t="str" cm="1">
        <f t="array" aca="1" ref="X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0" s="1" t="str" cm="1">
        <f t="array" aca="1" ref="Y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0" s="1" t="str" cm="1">
        <f t="array" aca="1" ref="Z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0" s="1" t="str" cm="1">
        <f t="array" aca="1" ref="AA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0" s="1" t="str" cm="1">
        <f t="array" aca="1" ref="AB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0" s="1" t="str" cm="1">
        <f t="array" aca="1" ref="AC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0" s="1" t="str" cm="1">
        <f t="array" aca="1" ref="AD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0" s="1" t="str" cm="1">
        <f t="array" aca="1" ref="AE250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1" spans="1:31">
      <c r="A251" s="1" t="str" cm="1">
        <f t="array" aca="1" ref="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1" s="1" t="str" cm="1">
        <f t="array" aca="1" ref="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1" s="1" t="str" cm="1">
        <f t="array" aca="1" ref="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1" s="1" t="str" cm="1">
        <f t="array" aca="1" ref="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1" s="1" t="str" cm="1">
        <f t="array" aca="1" ref="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1" s="1" t="str" cm="1">
        <f t="array" aca="1" ref="F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1" s="1" t="str" cm="1">
        <f t="array" aca="1" ref="G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1" s="1" t="str" cm="1">
        <f t="array" aca="1" ref="H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1" s="1" t="str" cm="1">
        <f t="array" aca="1" ref="I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1" s="1" t="str" cm="1">
        <f t="array" aca="1" ref="J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1" s="1" t="str" cm="1">
        <f t="array" aca="1" ref="K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1" s="1" t="str" cm="1">
        <f t="array" aca="1" ref="L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1" s="1" t="str" cm="1">
        <f t="array" aca="1" ref="M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1" s="1" t="str" cm="1">
        <f t="array" aca="1" ref="N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1" s="1" t="str" cm="1">
        <f t="array" aca="1" ref="O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1" s="1" t="str" cm="1">
        <f t="array" aca="1" ref="P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1" s="1" t="str" cm="1">
        <f t="array" aca="1" ref="Q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1" s="1" t="str" cm="1">
        <f t="array" aca="1" ref="R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1" s="1" t="str" cm="1">
        <f t="array" aca="1" ref="S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1" s="1" t="str" cm="1">
        <f t="array" aca="1" ref="T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1" s="1" t="str" cm="1">
        <f t="array" aca="1" ref="U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1" s="1" t="str" cm="1">
        <f t="array" aca="1" ref="V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1" s="1" t="str" cm="1">
        <f t="array" aca="1" ref="W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1" s="1" t="str" cm="1">
        <f t="array" aca="1" ref="X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1" s="1" t="str" cm="1">
        <f t="array" aca="1" ref="Y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1" s="1" t="str" cm="1">
        <f t="array" aca="1" ref="Z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1" s="1" t="str" cm="1">
        <f t="array" aca="1" ref="AA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1" s="1" t="str" cm="1">
        <f t="array" aca="1" ref="AB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1" s="1" t="str" cm="1">
        <f t="array" aca="1" ref="AC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1" s="1" t="str" cm="1">
        <f t="array" aca="1" ref="AD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1" s="1" t="str" cm="1">
        <f t="array" aca="1" ref="AE251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2" spans="1:31">
      <c r="A252" s="1" t="str" cm="1">
        <f t="array" aca="1" ref="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2" s="1" t="str" cm="1">
        <f t="array" aca="1" ref="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2" s="1" t="str" cm="1">
        <f t="array" aca="1" ref="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2" s="1" t="str" cm="1">
        <f t="array" aca="1" ref="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2" s="1" t="str" cm="1">
        <f t="array" aca="1" ref="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2" s="1" t="str" cm="1">
        <f t="array" aca="1" ref="F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2" s="1" t="str" cm="1">
        <f t="array" aca="1" ref="G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2" s="1" t="str" cm="1">
        <f t="array" aca="1" ref="H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2" s="1" t="str" cm="1">
        <f t="array" aca="1" ref="I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2" s="1" t="str" cm="1">
        <f t="array" aca="1" ref="J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2" s="1" t="str" cm="1">
        <f t="array" aca="1" ref="K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2" s="1" t="str" cm="1">
        <f t="array" aca="1" ref="L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2" s="1" t="str" cm="1">
        <f t="array" aca="1" ref="M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2" s="1" t="str" cm="1">
        <f t="array" aca="1" ref="N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2" s="1" t="str" cm="1">
        <f t="array" aca="1" ref="O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2" s="1" t="str" cm="1">
        <f t="array" aca="1" ref="P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2" s="1" t="str" cm="1">
        <f t="array" aca="1" ref="Q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2" s="1" t="str" cm="1">
        <f t="array" aca="1" ref="R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2" s="1" t="str" cm="1">
        <f t="array" aca="1" ref="S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2" s="1" t="str" cm="1">
        <f t="array" aca="1" ref="T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2" s="1" t="str" cm="1">
        <f t="array" aca="1" ref="U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2" s="1" t="str" cm="1">
        <f t="array" aca="1" ref="V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2" s="1" t="str" cm="1">
        <f t="array" aca="1" ref="W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2" s="1" t="str" cm="1">
        <f t="array" aca="1" ref="X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2" s="1" t="str" cm="1">
        <f t="array" aca="1" ref="Y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2" s="1" t="str" cm="1">
        <f t="array" aca="1" ref="Z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2" s="1" t="str" cm="1">
        <f t="array" aca="1" ref="AA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2" s="1" t="str" cm="1">
        <f t="array" aca="1" ref="AB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2" s="1" t="str" cm="1">
        <f t="array" aca="1" ref="AC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2" s="1" t="str" cm="1">
        <f t="array" aca="1" ref="AD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2" s="1" t="str" cm="1">
        <f t="array" aca="1" ref="AE252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3" spans="1:31">
      <c r="A253" s="1" t="str" cm="1">
        <f t="array" aca="1" ref="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3" s="1" t="str" cm="1">
        <f t="array" aca="1" ref="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3" s="1" t="str" cm="1">
        <f t="array" aca="1" ref="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3" s="1" t="str" cm="1">
        <f t="array" aca="1" ref="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3" s="1" t="str" cm="1">
        <f t="array" aca="1" ref="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3" s="1" t="str" cm="1">
        <f t="array" aca="1" ref="F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3" s="1" t="str" cm="1">
        <f t="array" aca="1" ref="G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3" s="1" t="str" cm="1">
        <f t="array" aca="1" ref="H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3" s="1" t="str" cm="1">
        <f t="array" aca="1" ref="I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3" s="1" t="str" cm="1">
        <f t="array" aca="1" ref="J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3" s="1" t="str" cm="1">
        <f t="array" aca="1" ref="K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3" s="1" t="str" cm="1">
        <f t="array" aca="1" ref="L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3" s="1" t="str" cm="1">
        <f t="array" aca="1" ref="M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3" s="1" t="str" cm="1">
        <f t="array" aca="1" ref="N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3" s="1" t="str" cm="1">
        <f t="array" aca="1" ref="O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3" s="1" t="str" cm="1">
        <f t="array" aca="1" ref="P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3" s="1" t="str" cm="1">
        <f t="array" aca="1" ref="Q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3" s="1" t="str" cm="1">
        <f t="array" aca="1" ref="R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3" s="1" t="str" cm="1">
        <f t="array" aca="1" ref="S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3" s="1" t="str" cm="1">
        <f t="array" aca="1" ref="T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3" s="1" t="str" cm="1">
        <f t="array" aca="1" ref="U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3" s="1" t="str" cm="1">
        <f t="array" aca="1" ref="V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3" s="1" t="str" cm="1">
        <f t="array" aca="1" ref="W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3" s="1" t="str" cm="1">
        <f t="array" aca="1" ref="X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3" s="1" t="str" cm="1">
        <f t="array" aca="1" ref="Y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3" s="1" t="str" cm="1">
        <f t="array" aca="1" ref="Z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3" s="1" t="str" cm="1">
        <f t="array" aca="1" ref="AA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3" s="1" t="str" cm="1">
        <f t="array" aca="1" ref="AB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3" s="1" t="str" cm="1">
        <f t="array" aca="1" ref="AC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3" s="1" t="str" cm="1">
        <f t="array" aca="1" ref="AD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3" s="1" t="str" cm="1">
        <f t="array" aca="1" ref="AE253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4" spans="1:31">
      <c r="A254" s="1" t="str" cm="1">
        <f t="array" aca="1" ref="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4" s="1" t="str" cm="1">
        <f t="array" aca="1" ref="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4" s="1" t="str" cm="1">
        <f t="array" aca="1" ref="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4" s="1" t="str" cm="1">
        <f t="array" aca="1" ref="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4" s="1" t="str" cm="1">
        <f t="array" aca="1" ref="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4" s="1" t="str" cm="1">
        <f t="array" aca="1" ref="F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4" s="1" t="str" cm="1">
        <f t="array" aca="1" ref="G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4" s="1" t="str" cm="1">
        <f t="array" aca="1" ref="H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4" s="1" t="str" cm="1">
        <f t="array" aca="1" ref="I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4" s="1" t="str" cm="1">
        <f t="array" aca="1" ref="J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4" s="1" t="str" cm="1">
        <f t="array" aca="1" ref="K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4" s="1" t="str" cm="1">
        <f t="array" aca="1" ref="L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4" s="1" t="str" cm="1">
        <f t="array" aca="1" ref="M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4" s="1" t="str" cm="1">
        <f t="array" aca="1" ref="N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4" s="1" t="str" cm="1">
        <f t="array" aca="1" ref="O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4" s="1" t="str" cm="1">
        <f t="array" aca="1" ref="P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4" s="1" t="str" cm="1">
        <f t="array" aca="1" ref="Q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4" s="1" t="str" cm="1">
        <f t="array" aca="1" ref="R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4" s="1" t="str" cm="1">
        <f t="array" aca="1" ref="S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4" s="1" t="str" cm="1">
        <f t="array" aca="1" ref="T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4" s="1" t="str" cm="1">
        <f t="array" aca="1" ref="U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4" s="1" t="str" cm="1">
        <f t="array" aca="1" ref="V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4" s="1" t="str" cm="1">
        <f t="array" aca="1" ref="W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4" s="1" t="str" cm="1">
        <f t="array" aca="1" ref="X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4" s="1" t="str" cm="1">
        <f t="array" aca="1" ref="Y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4" s="1" t="str" cm="1">
        <f t="array" aca="1" ref="Z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4" s="1" t="str" cm="1">
        <f t="array" aca="1" ref="AA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4" s="1" t="str" cm="1">
        <f t="array" aca="1" ref="AB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4" s="1" t="str" cm="1">
        <f t="array" aca="1" ref="AC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4" s="1" t="str" cm="1">
        <f t="array" aca="1" ref="AD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4" s="1" t="str" cm="1">
        <f t="array" aca="1" ref="AE254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  <row r="255" spans="1:31">
      <c r="A255" s="1" t="str" cm="1">
        <f t="array" aca="1" ref="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B255" s="1" t="str" cm="1">
        <f t="array" aca="1" ref="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C255" s="1" t="str" cm="1">
        <f t="array" aca="1" ref="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D255" s="1" t="str" cm="1">
        <f t="array" aca="1" ref="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E255" s="1" t="str" cm="1">
        <f t="array" aca="1" ref="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F255" s="1" t="str" cm="1">
        <f t="array" aca="1" ref="F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G255" s="1" t="str" cm="1">
        <f t="array" aca="1" ref="G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H255" s="1" t="str" cm="1">
        <f t="array" aca="1" ref="H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I255" s="1" t="str" cm="1">
        <f t="array" aca="1" ref="I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J255" s="1" t="str" cm="1">
        <f t="array" aca="1" ref="J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K255" s="1" t="str" cm="1">
        <f t="array" aca="1" ref="K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L255" s="1" t="str" cm="1">
        <f t="array" aca="1" ref="L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M255" s="1" t="str" cm="1">
        <f t="array" aca="1" ref="M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N255" s="1" t="str" cm="1">
        <f t="array" aca="1" ref="N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O255" s="1" t="str" cm="1">
        <f t="array" aca="1" ref="O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P255" s="1" t="str" cm="1">
        <f t="array" aca="1" ref="P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Q255" s="1" t="str" cm="1">
        <f t="array" aca="1" ref="Q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R255" s="1" t="str" cm="1">
        <f t="array" aca="1" ref="R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S255" s="1" t="str" cm="1">
        <f t="array" aca="1" ref="S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T255" s="1" t="str" cm="1">
        <f t="array" aca="1" ref="T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U255" s="1" t="str" cm="1">
        <f t="array" aca="1" ref="U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V255" s="1" t="str" cm="1">
        <f t="array" aca="1" ref="V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W255" s="1" t="str" cm="1">
        <f t="array" aca="1" ref="W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X255" s="1" t="str" cm="1">
        <f t="array" aca="1" ref="X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Y255" s="1" t="str" cm="1">
        <f t="array" aca="1" ref="Y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Z255" s="1" t="str" cm="1">
        <f t="array" aca="1" ref="Z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A255" s="1" t="str" cm="1">
        <f t="array" aca="1" ref="AA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B255" s="1" t="str" cm="1">
        <f t="array" aca="1" ref="AB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C255" s="1" t="str" cm="1">
        <f t="array" aca="1" ref="AC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D255" s="1" t="str" cm="1">
        <f t="array" aca="1" ref="AD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  <c r="AE255" s="1" t="str" cm="1">
        <f t="array" aca="1" ref="AE255" ca="1">_xlfn.LET(
_xlpm._col, COLUMN(),
_xlpm._n, IF(_xlpm._col&lt;=26, 1, 2),
IFERROR(IF(INDIRECT("calcu1!"&amp;ADDRESS(ROW(),COLUMN()))&lt;&gt;"",
"'" &amp; INDIRECT( "calcu1!" &amp; LEFT(ADDRESS(ROW(), COLUMN(),4 ), _xlpm._n) &amp; "$1" ) &amp; "'" &amp; ": " &amp; INDIRECT("calcu1!"&amp;ADDRESS(ROW(),COLUMN())),
""),"")
)</f>
        <v/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C000"/>
  </sheetPr>
  <dimension ref="A1:V35"/>
  <sheetViews>
    <sheetView zoomScale="85" zoomScaleNormal="85" workbookViewId="0">
      <selection activeCell="H14" sqref="H14"/>
    </sheetView>
  </sheetViews>
  <sheetFormatPr defaultRowHeight="18"/>
  <cols>
    <col min="1" max="1" width="55.3984375" bestFit="1" customWidth="1"/>
    <col min="2" max="2" width="3" customWidth="1"/>
    <col min="3" max="3" width="24.3984375" customWidth="1"/>
    <col min="8" max="8" width="32.69921875" bestFit="1" customWidth="1"/>
    <col min="9" max="9" width="17.69921875" customWidth="1"/>
    <col min="11" max="11" width="32.69921875" bestFit="1" customWidth="1"/>
    <col min="15" max="15" width="15.69921875" bestFit="1" customWidth="1"/>
  </cols>
  <sheetData>
    <row r="1" spans="1:22">
      <c r="A1" t="str" cm="1">
        <f t="array" aca="1" ref="A1" ca="1">CELL("filename", A1)</f>
        <v>C:\myPython\_QtDesigner\_RvbellInputApp\_入力アプリ画像付き_防災2025Q2\[メインデータリスト作成_防災V2.xlsx]config</v>
      </c>
    </row>
    <row r="2" spans="1:22">
      <c r="A2" t="str">
        <f ca="1">_xlfn.TEXTBEFORE(A1,"\[")&amp;"\"</f>
        <v>C:\myPython\_QtDesigner\_RvbellInputApp\_入力アプリ画像付き_防災2025Q2\</v>
      </c>
    </row>
    <row r="4" spans="1:22">
      <c r="A4" t="s">
        <v>0</v>
      </c>
      <c r="C4" t="s">
        <v>7</v>
      </c>
      <c r="E4" t="s">
        <v>11</v>
      </c>
      <c r="H4" t="s">
        <v>37</v>
      </c>
      <c r="I4" t="s">
        <v>25</v>
      </c>
      <c r="P4" t="s">
        <v>246</v>
      </c>
      <c r="U4" t="s">
        <v>245</v>
      </c>
    </row>
    <row r="5" spans="1:22">
      <c r="A5" t="str">
        <f ca="1">A2&amp;"data_list.csv"</f>
        <v>C:\myPython\_QtDesigner\_RvbellInputApp\_入力アプリ画像付き_防災2025Q2\data_list.csv</v>
      </c>
      <c r="C5" t="s">
        <v>1</v>
      </c>
      <c r="E5" t="str" cm="1">
        <f t="array" ref="E5:E8">_xlfn._xlws.FILTER(_xlfn.UNIQUE(変換前のテーブル[data_type]), _xlfn.UNIQUE(変換前のテーブル[data_type])&lt;&gt;0)</f>
        <v>hankaku-eisu-kuromaru_lenjust</v>
      </c>
      <c r="H5" t="s">
        <v>71</v>
      </c>
      <c r="I5" t="s">
        <v>72</v>
      </c>
      <c r="K5" t="str" cm="1">
        <f t="array" ref="K5:K8">_xlfn.UNIQUE(変換前のテーブル[data_type])</f>
        <v>hankaku-eisu-kuromaru_lenjust</v>
      </c>
      <c r="L5" cm="1">
        <f t="array" ref="L5:L8">COUNTIF(_TypeInfo[type],_xlfn.ANCHORARRAY(K5))</f>
        <v>1</v>
      </c>
      <c r="O5" t="str" cm="1">
        <f t="array" ref="O5:O35">TRANSPOSE(変換前のテーブル[#Headers])</f>
        <v>index</v>
      </c>
      <c r="R5" t="str" cm="1">
        <f t="array" ref="R5:S35">_xlfn.TRIMRANGE(O5:P1048576)</f>
        <v>index</v>
      </c>
      <c r="S5">
        <v>0</v>
      </c>
      <c r="U5" t="str" cm="1">
        <f t="array" ref="U5:U35">_xlfn.CHOOSECOLS(_xlfn.ANCHORARRAY($R$5),1)</f>
        <v>index</v>
      </c>
      <c r="V5" cm="1">
        <f t="array" ref="V5:V35">_xlfn.CHOOSECOLS(_xlfn.ANCHORARRAY($R$5),2)</f>
        <v>0</v>
      </c>
    </row>
    <row r="6" spans="1:22">
      <c r="C6" t="s">
        <v>5</v>
      </c>
      <c r="E6" t="str">
        <v>hankaku-eisu-kuromaru</v>
      </c>
      <c r="H6" t="s">
        <v>73</v>
      </c>
      <c r="I6" t="s">
        <v>72</v>
      </c>
      <c r="K6" t="str">
        <v>hankaku-eisu-kuromaru</v>
      </c>
      <c r="L6">
        <v>1</v>
      </c>
      <c r="O6" t="str">
        <v>display_name</v>
      </c>
      <c r="P6" t="b">
        <v>1</v>
      </c>
      <c r="R6" t="str">
        <v>display_name</v>
      </c>
      <c r="S6" t="b">
        <v>1</v>
      </c>
      <c r="U6" t="str">
        <v>display_name</v>
      </c>
      <c r="V6" t="b">
        <v>1</v>
      </c>
    </row>
    <row r="7" spans="1:22">
      <c r="E7" t="str">
        <v>str</v>
      </c>
      <c r="H7" t="s">
        <v>59</v>
      </c>
      <c r="I7" t="s">
        <v>60</v>
      </c>
      <c r="K7" t="str">
        <v>str</v>
      </c>
      <c r="L7">
        <v>1</v>
      </c>
      <c r="O7" t="str">
        <v>data_type</v>
      </c>
      <c r="P7" t="b">
        <v>1</v>
      </c>
      <c r="R7" t="str">
        <v>data_type</v>
      </c>
      <c r="S7" t="b">
        <v>1</v>
      </c>
      <c r="U7" t="str">
        <v>data_type</v>
      </c>
      <c r="V7" t="b">
        <v>1</v>
      </c>
    </row>
    <row r="8" spans="1:22">
      <c r="E8" t="str">
        <v>hankaku-eisu-kuromaru_lenrange</v>
      </c>
      <c r="H8" t="s">
        <v>62</v>
      </c>
      <c r="I8" t="s">
        <v>65</v>
      </c>
      <c r="K8" t="str">
        <v>hankaku-eisu-kuromaru_lenrange</v>
      </c>
      <c r="L8">
        <v>1</v>
      </c>
      <c r="O8" t="str">
        <v>label_name</v>
      </c>
      <c r="P8" t="b">
        <v>1</v>
      </c>
      <c r="R8" t="str">
        <v>label_name</v>
      </c>
      <c r="S8" t="b">
        <v>1</v>
      </c>
      <c r="U8" t="str">
        <v>label_name</v>
      </c>
      <c r="V8" t="b">
        <v>1</v>
      </c>
    </row>
    <row r="9" spans="1:22">
      <c r="H9" t="s">
        <v>63</v>
      </c>
      <c r="I9" t="s">
        <v>65</v>
      </c>
      <c r="O9" t="str">
        <v>line_edit_name</v>
      </c>
      <c r="P9" t="b">
        <v>1</v>
      </c>
      <c r="R9" t="str">
        <v>line_edit_name</v>
      </c>
      <c r="S9" t="b">
        <v>1</v>
      </c>
      <c r="U9" t="str">
        <v>line_edit_name</v>
      </c>
      <c r="V9" t="b">
        <v>1</v>
      </c>
    </row>
    <row r="10" spans="1:22">
      <c r="H10" t="s">
        <v>64</v>
      </c>
      <c r="I10" t="s">
        <v>65</v>
      </c>
      <c r="O10" t="str">
        <v>is_last</v>
      </c>
      <c r="R10" t="str">
        <v>is_last</v>
      </c>
      <c r="S10">
        <v>0</v>
      </c>
      <c r="U10" t="str">
        <v>is_last</v>
      </c>
      <c r="V10">
        <v>0</v>
      </c>
    </row>
    <row r="11" spans="1:22">
      <c r="H11" t="s">
        <v>76</v>
      </c>
      <c r="I11" t="s">
        <v>45</v>
      </c>
      <c r="O11" t="str">
        <v>line_edit_obj</v>
      </c>
      <c r="P11" t="b">
        <v>1</v>
      </c>
      <c r="R11" t="str">
        <v>line_edit_obj</v>
      </c>
      <c r="S11" t="b">
        <v>1</v>
      </c>
      <c r="U11" t="str">
        <v>line_edit_obj</v>
      </c>
      <c r="V11" t="b">
        <v>1</v>
      </c>
    </row>
    <row r="12" spans="1:22">
      <c r="H12" t="s">
        <v>78</v>
      </c>
      <c r="I12" t="s">
        <v>69</v>
      </c>
      <c r="O12" t="str">
        <v>ime_mode</v>
      </c>
      <c r="P12" t="b">
        <v>1</v>
      </c>
      <c r="R12" t="str">
        <v>ime_mode</v>
      </c>
      <c r="S12" t="b">
        <v>1</v>
      </c>
      <c r="U12" t="str">
        <v>ime_mode</v>
      </c>
      <c r="V12" t="b">
        <v>1</v>
      </c>
    </row>
    <row r="13" spans="1:22">
      <c r="H13" t="s">
        <v>77</v>
      </c>
      <c r="I13" t="s">
        <v>69</v>
      </c>
      <c r="O13" t="str">
        <v>pn_auto_input</v>
      </c>
      <c r="P13" t="b">
        <v>1</v>
      </c>
      <c r="R13" t="str">
        <v>pn_auto_input</v>
      </c>
      <c r="S13" t="b">
        <v>1</v>
      </c>
      <c r="U13" t="str">
        <v>pn_auto_input</v>
      </c>
      <c r="V13" t="b">
        <v>1</v>
      </c>
    </row>
    <row r="14" spans="1:22">
      <c r="H14" t="s">
        <v>79</v>
      </c>
      <c r="I14" t="s">
        <v>69</v>
      </c>
      <c r="O14" t="str">
        <v>text_conversion</v>
      </c>
      <c r="P14" t="b">
        <v>1</v>
      </c>
      <c r="R14" t="str">
        <v>text_conversion</v>
      </c>
      <c r="S14" t="b">
        <v>1</v>
      </c>
      <c r="U14" t="str">
        <v>text_conversion</v>
      </c>
      <c r="V14" t="b">
        <v>1</v>
      </c>
    </row>
    <row r="15" spans="1:22">
      <c r="H15" t="s">
        <v>243</v>
      </c>
      <c r="I15" t="s">
        <v>247</v>
      </c>
      <c r="O15" t="str">
        <v>label_obj</v>
      </c>
      <c r="P15" t="b">
        <v>1</v>
      </c>
      <c r="R15" t="str">
        <v>label_obj</v>
      </c>
      <c r="S15" t="b">
        <v>1</v>
      </c>
      <c r="U15" t="str">
        <v>label_obj</v>
      </c>
      <c r="V15" t="b">
        <v>1</v>
      </c>
    </row>
    <row r="16" spans="1:22">
      <c r="H16" t="s">
        <v>35</v>
      </c>
      <c r="I16" t="s">
        <v>45</v>
      </c>
      <c r="O16" t="str">
        <v>frame_a_obj</v>
      </c>
      <c r="P16" t="b">
        <v>1</v>
      </c>
      <c r="R16" t="str">
        <v>frame_a_obj</v>
      </c>
      <c r="S16" t="b">
        <v>1</v>
      </c>
      <c r="U16" t="str">
        <v>frame_a_obj</v>
      </c>
      <c r="V16" t="b">
        <v>1</v>
      </c>
    </row>
    <row r="17" spans="8:22">
      <c r="H17" t="s">
        <v>38</v>
      </c>
      <c r="I17" t="s">
        <v>45</v>
      </c>
      <c r="O17" t="str">
        <v>frame_a_name</v>
      </c>
      <c r="P17" t="b">
        <v>1</v>
      </c>
      <c r="R17" t="str">
        <v>frame_a_name</v>
      </c>
      <c r="S17" t="b">
        <v>1</v>
      </c>
      <c r="U17" t="str">
        <v>frame_a_name</v>
      </c>
      <c r="V17" t="b">
        <v>1</v>
      </c>
    </row>
    <row r="18" spans="8:22">
      <c r="H18" t="s">
        <v>44</v>
      </c>
      <c r="I18" t="s">
        <v>45</v>
      </c>
      <c r="O18" t="str">
        <v>frame_b_obj</v>
      </c>
      <c r="P18" t="b">
        <v>1</v>
      </c>
      <c r="R18" t="str">
        <v>frame_b_obj</v>
      </c>
      <c r="S18" t="b">
        <v>1</v>
      </c>
      <c r="U18" t="str">
        <v>frame_b_obj</v>
      </c>
      <c r="V18" t="b">
        <v>1</v>
      </c>
    </row>
    <row r="19" spans="8:22">
      <c r="H19" t="s">
        <v>54</v>
      </c>
      <c r="I19" t="s">
        <v>45</v>
      </c>
      <c r="O19" t="str">
        <v>frame_b_name</v>
      </c>
      <c r="P19" t="b">
        <v>1</v>
      </c>
      <c r="R19" t="str">
        <v>frame_b_name</v>
      </c>
      <c r="S19" t="b">
        <v>1</v>
      </c>
      <c r="U19" t="str">
        <v>frame_b_name</v>
      </c>
      <c r="V19" t="b">
        <v>1</v>
      </c>
    </row>
    <row r="20" spans="8:22">
      <c r="H20" t="s">
        <v>70</v>
      </c>
      <c r="O20" t="str">
        <v>layout_a_name</v>
      </c>
      <c r="P20" t="b">
        <v>1</v>
      </c>
      <c r="R20" t="str">
        <v>layout_a_name</v>
      </c>
      <c r="S20" t="b">
        <v>1</v>
      </c>
      <c r="U20" t="str">
        <v>layout_a_name</v>
      </c>
      <c r="V20" t="b">
        <v>1</v>
      </c>
    </row>
    <row r="21" spans="8:22">
      <c r="H21" t="s">
        <v>10</v>
      </c>
      <c r="O21" t="str">
        <v>layout_a_obj</v>
      </c>
      <c r="P21" t="b">
        <v>1</v>
      </c>
      <c r="R21" t="str">
        <v>layout_a_obj</v>
      </c>
      <c r="S21" t="b">
        <v>1</v>
      </c>
      <c r="U21" t="str">
        <v>layout_a_obj</v>
      </c>
      <c r="V21" t="b">
        <v>1</v>
      </c>
    </row>
    <row r="22" spans="8:22">
      <c r="H22" t="s">
        <v>36</v>
      </c>
      <c r="I22" t="s">
        <v>46</v>
      </c>
      <c r="O22" t="str">
        <v>layout_b_name</v>
      </c>
      <c r="P22" t="b">
        <v>1</v>
      </c>
      <c r="R22" t="str">
        <v>layout_b_name</v>
      </c>
      <c r="S22" t="b">
        <v>1</v>
      </c>
      <c r="U22" t="str">
        <v>layout_b_name</v>
      </c>
      <c r="V22" t="b">
        <v>1</v>
      </c>
    </row>
    <row r="23" spans="8:22">
      <c r="H23" t="s">
        <v>43</v>
      </c>
      <c r="I23" t="s">
        <v>46</v>
      </c>
      <c r="O23" t="str">
        <v>layout_b_obj</v>
      </c>
      <c r="P23" t="b">
        <v>1</v>
      </c>
      <c r="R23" t="str">
        <v>layout_b_obj</v>
      </c>
      <c r="S23" t="b">
        <v>1</v>
      </c>
      <c r="U23" t="str">
        <v>layout_b_obj</v>
      </c>
      <c r="V23" t="b">
        <v>1</v>
      </c>
    </row>
    <row r="24" spans="8:22">
      <c r="H24" t="s">
        <v>74</v>
      </c>
      <c r="I24" t="s">
        <v>75</v>
      </c>
      <c r="O24" t="str">
        <v>info</v>
      </c>
      <c r="P24" t="b">
        <v>1</v>
      </c>
      <c r="R24" t="str">
        <v>info</v>
      </c>
      <c r="S24" t="b">
        <v>1</v>
      </c>
      <c r="U24" t="str">
        <v>info</v>
      </c>
      <c r="V24" t="b">
        <v>1</v>
      </c>
    </row>
    <row r="25" spans="8:22">
      <c r="H25" t="s">
        <v>58</v>
      </c>
      <c r="I25" t="s">
        <v>66</v>
      </c>
      <c r="O25" t="str">
        <v>is_rept</v>
      </c>
      <c r="R25" t="str">
        <v>is_rept</v>
      </c>
      <c r="S25">
        <v>0</v>
      </c>
      <c r="U25" t="str">
        <v>is_rept</v>
      </c>
      <c r="V25">
        <v>0</v>
      </c>
    </row>
    <row r="26" spans="8:22">
      <c r="H26" t="s">
        <v>249</v>
      </c>
      <c r="I26" t="s">
        <v>250</v>
      </c>
      <c r="O26" t="str">
        <v>is_show</v>
      </c>
      <c r="R26" t="str">
        <v>is_show</v>
      </c>
      <c r="S26">
        <v>0</v>
      </c>
      <c r="U26" t="str">
        <v>is_show</v>
      </c>
      <c r="V26">
        <v>0</v>
      </c>
    </row>
    <row r="27" spans="8:22">
      <c r="O27" t="str">
        <v>list_item</v>
      </c>
      <c r="R27" t="str">
        <v>list_item</v>
      </c>
      <c r="S27">
        <v>0</v>
      </c>
      <c r="U27" t="str">
        <v>list_item</v>
      </c>
      <c r="V27">
        <v>0</v>
      </c>
    </row>
    <row r="28" spans="8:22">
      <c r="O28" t="str">
        <v>name</v>
      </c>
      <c r="P28" t="b">
        <v>1</v>
      </c>
      <c r="R28" t="str">
        <v>name</v>
      </c>
      <c r="S28" t="b">
        <v>1</v>
      </c>
      <c r="U28" t="str">
        <v>name</v>
      </c>
      <c r="V28" t="b">
        <v>1</v>
      </c>
    </row>
    <row r="29" spans="8:22">
      <c r="O29" t="str">
        <v>replace_keys</v>
      </c>
      <c r="R29" t="str">
        <v>replace_keys</v>
      </c>
      <c r="S29">
        <v>0</v>
      </c>
      <c r="U29" t="str">
        <v>replace_keys</v>
      </c>
      <c r="V29">
        <v>0</v>
      </c>
    </row>
    <row r="30" spans="8:22">
      <c r="O30" t="str">
        <v>replace_values</v>
      </c>
      <c r="R30" t="str">
        <v>replace_values</v>
      </c>
      <c r="S30">
        <v>0</v>
      </c>
      <c r="U30" t="str">
        <v>replace_values</v>
      </c>
      <c r="V30">
        <v>0</v>
      </c>
    </row>
    <row r="31" spans="8:22">
      <c r="O31" t="str">
        <v>is_b_line_show</v>
      </c>
      <c r="R31" t="str">
        <v>is_b_line_show</v>
      </c>
      <c r="S31">
        <v>0</v>
      </c>
      <c r="U31" t="str">
        <v>is_b_line_show</v>
      </c>
      <c r="V31">
        <v>0</v>
      </c>
    </row>
    <row r="32" spans="8:22">
      <c r="O32" t="str">
        <v>length</v>
      </c>
      <c r="R32" t="str">
        <v>length</v>
      </c>
      <c r="S32">
        <v>0</v>
      </c>
      <c r="U32" t="str">
        <v>length</v>
      </c>
      <c r="V32">
        <v>0</v>
      </c>
    </row>
    <row r="33" spans="15:22">
      <c r="O33" t="str">
        <v>min_max</v>
      </c>
      <c r="R33" t="str">
        <v>min_max</v>
      </c>
      <c r="S33">
        <v>0</v>
      </c>
      <c r="U33" t="str">
        <v>min_max</v>
      </c>
      <c r="V33">
        <v>0</v>
      </c>
    </row>
    <row r="34" spans="15:22">
      <c r="O34" t="str">
        <v>re</v>
      </c>
      <c r="P34" t="b">
        <v>1</v>
      </c>
      <c r="R34" t="str">
        <v>re</v>
      </c>
      <c r="S34" t="b">
        <v>1</v>
      </c>
      <c r="U34" t="str">
        <v>re</v>
      </c>
      <c r="V34" t="b">
        <v>1</v>
      </c>
    </row>
    <row r="35" spans="15:22">
      <c r="O35" t="str">
        <v>remarks</v>
      </c>
      <c r="R35" t="str">
        <v>remarks</v>
      </c>
      <c r="S35">
        <v>0</v>
      </c>
      <c r="U35" t="str">
        <v>remarks</v>
      </c>
      <c r="V35">
        <v>0</v>
      </c>
    </row>
  </sheetData>
  <phoneticPr fontId="1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6575-FF88-49C1-8BE8-1F89FA28A3FB}">
  <sheetPr codeName="Sheet6"/>
  <dimension ref="A1:AD15"/>
  <sheetViews>
    <sheetView workbookViewId="0">
      <selection activeCell="C14" sqref="C14"/>
    </sheetView>
  </sheetViews>
  <sheetFormatPr defaultRowHeight="18"/>
  <cols>
    <col min="2" max="2" width="14.5" customWidth="1"/>
    <col min="3" max="3" width="11.19921875" customWidth="1"/>
    <col min="4" max="4" width="12.5" customWidth="1"/>
    <col min="5" max="5" width="15.69921875" customWidth="1"/>
    <col min="7" max="7" width="13.69921875" customWidth="1"/>
    <col min="8" max="8" width="11.59765625" customWidth="1"/>
    <col min="9" max="9" width="15" customWidth="1"/>
    <col min="10" max="10" width="16.69921875" customWidth="1"/>
    <col min="11" max="11" width="10.5" customWidth="1"/>
    <col min="12" max="12" width="13.19921875" customWidth="1"/>
    <col min="13" max="13" width="15.19921875" customWidth="1"/>
    <col min="14" max="14" width="13.3984375" customWidth="1"/>
    <col min="15" max="15" width="15.3984375" customWidth="1"/>
    <col min="16" max="16" width="15.59765625" customWidth="1"/>
    <col min="17" max="17" width="13.59765625" customWidth="1"/>
    <col min="18" max="18" width="15.69921875" customWidth="1"/>
    <col min="19" max="19" width="13.69921875" customWidth="1"/>
    <col min="22" max="22" width="9.69921875" customWidth="1"/>
    <col min="23" max="23" width="28.59765625" bestFit="1" customWidth="1"/>
    <col min="25" max="25" width="14.09765625" customWidth="1"/>
    <col min="26" max="27" width="15.69921875" customWidth="1"/>
    <col min="29" max="29" width="10.19921875" customWidth="1"/>
  </cols>
  <sheetData>
    <row r="1" spans="1:30">
      <c r="A1" t="s">
        <v>1</v>
      </c>
      <c r="B1" t="s">
        <v>2</v>
      </c>
      <c r="C1" t="s">
        <v>91</v>
      </c>
      <c r="D1" t="s">
        <v>3</v>
      </c>
      <c r="E1" t="s">
        <v>4</v>
      </c>
      <c r="F1" t="s">
        <v>5</v>
      </c>
      <c r="G1" t="s">
        <v>92</v>
      </c>
      <c r="H1" t="s">
        <v>93</v>
      </c>
      <c r="I1" t="s">
        <v>94</v>
      </c>
      <c r="J1" t="s">
        <v>15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</row>
    <row r="2" spans="1:30">
      <c r="A2">
        <v>0</v>
      </c>
      <c r="B2" t="s">
        <v>115</v>
      </c>
      <c r="C2" t="s">
        <v>116</v>
      </c>
      <c r="D2" t="s">
        <v>117</v>
      </c>
      <c r="E2" t="s">
        <v>118</v>
      </c>
      <c r="F2">
        <v>-1</v>
      </c>
      <c r="H2" t="s">
        <v>119</v>
      </c>
      <c r="I2" t="s">
        <v>120</v>
      </c>
      <c r="M2" t="s">
        <v>121</v>
      </c>
      <c r="O2" t="s">
        <v>122</v>
      </c>
      <c r="P2" t="s">
        <v>123</v>
      </c>
      <c r="R2" t="s">
        <v>124</v>
      </c>
      <c r="T2" t="s">
        <v>125</v>
      </c>
      <c r="U2" t="s">
        <v>126</v>
      </c>
      <c r="V2" t="s">
        <v>67</v>
      </c>
      <c r="X2" t="s">
        <v>127</v>
      </c>
    </row>
    <row r="3" spans="1:30">
      <c r="A3">
        <v>1</v>
      </c>
      <c r="B3" t="s">
        <v>128</v>
      </c>
      <c r="C3" t="s">
        <v>116</v>
      </c>
      <c r="D3" t="s">
        <v>129</v>
      </c>
      <c r="E3" t="s">
        <v>130</v>
      </c>
      <c r="F3">
        <v>0</v>
      </c>
      <c r="H3" t="s">
        <v>119</v>
      </c>
      <c r="I3" t="s">
        <v>120</v>
      </c>
      <c r="M3" t="s">
        <v>121</v>
      </c>
      <c r="O3" t="s">
        <v>131</v>
      </c>
      <c r="P3" t="s">
        <v>123</v>
      </c>
      <c r="R3" t="s">
        <v>132</v>
      </c>
      <c r="T3" t="s">
        <v>133</v>
      </c>
      <c r="U3" t="s">
        <v>126</v>
      </c>
      <c r="V3" t="s">
        <v>67</v>
      </c>
      <c r="X3" t="s">
        <v>134</v>
      </c>
    </row>
    <row r="4" spans="1:30">
      <c r="A4" s="3">
        <v>2</v>
      </c>
      <c r="B4" s="3" t="s">
        <v>135</v>
      </c>
      <c r="C4" s="3" t="s">
        <v>136</v>
      </c>
      <c r="D4" s="3" t="s">
        <v>137</v>
      </c>
      <c r="E4" s="3" t="s">
        <v>138</v>
      </c>
      <c r="F4" s="3">
        <v>0</v>
      </c>
      <c r="G4" s="3"/>
      <c r="H4" s="3" t="s">
        <v>119</v>
      </c>
      <c r="I4" s="3" t="s">
        <v>120</v>
      </c>
      <c r="J4" s="3"/>
      <c r="K4" s="3"/>
      <c r="L4" s="3"/>
      <c r="M4" s="3" t="s">
        <v>121</v>
      </c>
      <c r="N4" s="3"/>
      <c r="O4" s="3" t="s">
        <v>139</v>
      </c>
      <c r="P4" s="3" t="s">
        <v>123</v>
      </c>
      <c r="Q4" s="3"/>
      <c r="R4" s="3" t="s">
        <v>140</v>
      </c>
      <c r="S4" s="3"/>
      <c r="T4" s="3" t="s">
        <v>141</v>
      </c>
      <c r="U4" s="3" t="s">
        <v>126</v>
      </c>
      <c r="V4" s="3" t="s">
        <v>67</v>
      </c>
      <c r="W4" s="3"/>
      <c r="X4" s="3" t="s">
        <v>142</v>
      </c>
      <c r="Y4" s="3" t="s">
        <v>143</v>
      </c>
      <c r="Z4" s="3" t="s">
        <v>144</v>
      </c>
      <c r="AA4" s="3"/>
      <c r="AB4" s="3"/>
      <c r="AC4" s="3"/>
      <c r="AD4" s="3"/>
    </row>
    <row r="5" spans="1:30">
      <c r="A5">
        <v>3</v>
      </c>
      <c r="B5" t="s">
        <v>145</v>
      </c>
      <c r="C5" t="s">
        <v>146</v>
      </c>
      <c r="D5" t="s">
        <v>147</v>
      </c>
      <c r="E5" t="s">
        <v>148</v>
      </c>
      <c r="F5">
        <v>0</v>
      </c>
      <c r="H5" t="s">
        <v>149</v>
      </c>
      <c r="I5" t="s">
        <v>146</v>
      </c>
      <c r="M5" t="s">
        <v>150</v>
      </c>
      <c r="O5" t="s">
        <v>151</v>
      </c>
      <c r="P5" t="s">
        <v>152</v>
      </c>
      <c r="R5" t="s">
        <v>153</v>
      </c>
      <c r="T5" t="s">
        <v>154</v>
      </c>
      <c r="U5" t="s">
        <v>126</v>
      </c>
      <c r="V5" t="s">
        <v>67</v>
      </c>
      <c r="X5" t="s">
        <v>155</v>
      </c>
    </row>
    <row r="6" spans="1:30">
      <c r="A6">
        <v>4</v>
      </c>
      <c r="B6" t="s">
        <v>156</v>
      </c>
      <c r="C6" t="s">
        <v>116</v>
      </c>
      <c r="D6" t="s">
        <v>157</v>
      </c>
      <c r="E6" t="s">
        <v>158</v>
      </c>
      <c r="F6">
        <v>0</v>
      </c>
      <c r="H6" t="s">
        <v>119</v>
      </c>
      <c r="I6" t="s">
        <v>159</v>
      </c>
      <c r="M6" t="s">
        <v>150</v>
      </c>
      <c r="O6" t="s">
        <v>160</v>
      </c>
      <c r="P6" t="s">
        <v>152</v>
      </c>
      <c r="R6" t="s">
        <v>161</v>
      </c>
      <c r="T6" t="s">
        <v>162</v>
      </c>
      <c r="U6" t="s">
        <v>126</v>
      </c>
      <c r="V6" t="s">
        <v>67</v>
      </c>
      <c r="X6" t="s">
        <v>163</v>
      </c>
    </row>
    <row r="7" spans="1:30">
      <c r="A7">
        <v>5</v>
      </c>
      <c r="B7" t="s">
        <v>164</v>
      </c>
      <c r="C7" t="s">
        <v>116</v>
      </c>
      <c r="D7" t="s">
        <v>165</v>
      </c>
      <c r="E7" t="s">
        <v>166</v>
      </c>
      <c r="F7">
        <v>0</v>
      </c>
      <c r="H7" t="s">
        <v>119</v>
      </c>
      <c r="I7" t="s">
        <v>167</v>
      </c>
      <c r="M7" t="s">
        <v>150</v>
      </c>
      <c r="O7" t="s">
        <v>168</v>
      </c>
      <c r="P7" t="s">
        <v>152</v>
      </c>
      <c r="R7" t="s">
        <v>169</v>
      </c>
      <c r="T7" t="s">
        <v>170</v>
      </c>
      <c r="U7" t="s">
        <v>126</v>
      </c>
      <c r="V7" t="s">
        <v>67</v>
      </c>
      <c r="X7" t="s">
        <v>171</v>
      </c>
    </row>
    <row r="8" spans="1:30">
      <c r="A8">
        <v>6</v>
      </c>
      <c r="B8" t="s">
        <v>172</v>
      </c>
      <c r="C8" t="s">
        <v>58</v>
      </c>
      <c r="D8" t="s">
        <v>173</v>
      </c>
      <c r="E8" t="s">
        <v>174</v>
      </c>
      <c r="F8">
        <v>0</v>
      </c>
      <c r="H8" t="s">
        <v>119</v>
      </c>
      <c r="I8" t="s">
        <v>175</v>
      </c>
      <c r="J8" t="s">
        <v>176</v>
      </c>
      <c r="M8" t="s">
        <v>177</v>
      </c>
      <c r="O8" t="s">
        <v>178</v>
      </c>
      <c r="P8" t="s">
        <v>179</v>
      </c>
      <c r="R8" t="s">
        <v>180</v>
      </c>
      <c r="T8" t="s">
        <v>181</v>
      </c>
      <c r="U8" t="s">
        <v>126</v>
      </c>
      <c r="V8" t="s">
        <v>67</v>
      </c>
      <c r="X8" t="s">
        <v>182</v>
      </c>
    </row>
    <row r="9" spans="1:30">
      <c r="A9">
        <v>7</v>
      </c>
      <c r="B9" t="s">
        <v>183</v>
      </c>
      <c r="C9" t="s">
        <v>116</v>
      </c>
      <c r="D9" t="s">
        <v>184</v>
      </c>
      <c r="E9" t="s">
        <v>185</v>
      </c>
      <c r="F9">
        <v>0</v>
      </c>
      <c r="H9" t="s">
        <v>119</v>
      </c>
      <c r="I9" t="s">
        <v>120</v>
      </c>
      <c r="J9" t="s">
        <v>176</v>
      </c>
      <c r="M9" t="s">
        <v>177</v>
      </c>
      <c r="O9" t="s">
        <v>186</v>
      </c>
      <c r="P9" t="s">
        <v>179</v>
      </c>
      <c r="R9" t="s">
        <v>187</v>
      </c>
      <c r="T9" t="s">
        <v>188</v>
      </c>
      <c r="U9" t="s">
        <v>126</v>
      </c>
      <c r="V9" t="s">
        <v>67</v>
      </c>
      <c r="X9" t="s">
        <v>189</v>
      </c>
    </row>
    <row r="10" spans="1:30">
      <c r="A10">
        <v>8</v>
      </c>
      <c r="B10" t="s">
        <v>190</v>
      </c>
      <c r="C10" t="s">
        <v>191</v>
      </c>
      <c r="D10" t="s">
        <v>192</v>
      </c>
      <c r="E10" t="s">
        <v>193</v>
      </c>
      <c r="F10">
        <v>0</v>
      </c>
      <c r="H10" t="s">
        <v>149</v>
      </c>
      <c r="I10" t="s">
        <v>120</v>
      </c>
      <c r="M10" t="s">
        <v>177</v>
      </c>
      <c r="O10" t="s">
        <v>194</v>
      </c>
      <c r="P10" t="s">
        <v>179</v>
      </c>
      <c r="R10" t="s">
        <v>195</v>
      </c>
      <c r="T10" t="s">
        <v>196</v>
      </c>
      <c r="U10" t="s">
        <v>126</v>
      </c>
      <c r="V10" t="s">
        <v>67</v>
      </c>
      <c r="X10" t="s">
        <v>197</v>
      </c>
    </row>
    <row r="11" spans="1:30">
      <c r="A11">
        <v>9</v>
      </c>
      <c r="B11" t="s">
        <v>198</v>
      </c>
      <c r="C11" t="s">
        <v>71</v>
      </c>
      <c r="D11" t="s">
        <v>199</v>
      </c>
      <c r="E11" t="s">
        <v>200</v>
      </c>
      <c r="F11">
        <v>0</v>
      </c>
      <c r="H11" t="s">
        <v>149</v>
      </c>
      <c r="I11" t="s">
        <v>120</v>
      </c>
      <c r="M11" t="s">
        <v>201</v>
      </c>
      <c r="O11" t="s">
        <v>202</v>
      </c>
      <c r="P11" t="s">
        <v>203</v>
      </c>
      <c r="R11" t="s">
        <v>204</v>
      </c>
      <c r="T11" t="s">
        <v>205</v>
      </c>
      <c r="U11" t="s">
        <v>126</v>
      </c>
      <c r="V11" t="s">
        <v>67</v>
      </c>
      <c r="X11" t="s">
        <v>206</v>
      </c>
    </row>
    <row r="12" spans="1:30">
      <c r="A12">
        <v>10</v>
      </c>
      <c r="B12" t="s">
        <v>207</v>
      </c>
      <c r="C12" t="s">
        <v>35</v>
      </c>
      <c r="D12" t="s">
        <v>208</v>
      </c>
      <c r="E12" t="s">
        <v>209</v>
      </c>
      <c r="F12">
        <v>0</v>
      </c>
      <c r="H12" t="s">
        <v>149</v>
      </c>
      <c r="I12" t="s">
        <v>120</v>
      </c>
      <c r="J12" t="s">
        <v>210</v>
      </c>
      <c r="M12" t="s">
        <v>201</v>
      </c>
      <c r="O12" t="s">
        <v>211</v>
      </c>
      <c r="P12" t="s">
        <v>203</v>
      </c>
      <c r="R12" t="s">
        <v>212</v>
      </c>
      <c r="T12" t="s">
        <v>213</v>
      </c>
      <c r="U12" t="s">
        <v>126</v>
      </c>
      <c r="V12" t="s">
        <v>67</v>
      </c>
      <c r="X12" t="s">
        <v>214</v>
      </c>
    </row>
    <row r="13" spans="1:30">
      <c r="A13">
        <v>11</v>
      </c>
      <c r="B13" t="s">
        <v>215</v>
      </c>
      <c r="C13" t="s">
        <v>216</v>
      </c>
      <c r="D13" t="s">
        <v>217</v>
      </c>
      <c r="E13" t="s">
        <v>218</v>
      </c>
      <c r="F13">
        <v>0</v>
      </c>
      <c r="H13" t="s">
        <v>149</v>
      </c>
      <c r="I13" t="s">
        <v>120</v>
      </c>
      <c r="J13" t="s">
        <v>210</v>
      </c>
      <c r="M13" t="s">
        <v>201</v>
      </c>
      <c r="O13" t="s">
        <v>219</v>
      </c>
      <c r="P13" t="s">
        <v>203</v>
      </c>
      <c r="R13" t="s">
        <v>220</v>
      </c>
      <c r="T13" t="s">
        <v>221</v>
      </c>
      <c r="U13" t="s">
        <v>126</v>
      </c>
      <c r="V13" t="s">
        <v>67</v>
      </c>
      <c r="X13" t="s">
        <v>222</v>
      </c>
    </row>
    <row r="14" spans="1:30">
      <c r="A14">
        <v>12</v>
      </c>
      <c r="B14" t="s">
        <v>223</v>
      </c>
      <c r="C14" t="s">
        <v>224</v>
      </c>
      <c r="D14" t="s">
        <v>225</v>
      </c>
      <c r="E14" t="s">
        <v>226</v>
      </c>
      <c r="F14">
        <v>0</v>
      </c>
      <c r="I14" t="s">
        <v>120</v>
      </c>
      <c r="M14" t="s">
        <v>227</v>
      </c>
      <c r="O14" t="s">
        <v>228</v>
      </c>
      <c r="P14" t="s">
        <v>229</v>
      </c>
      <c r="R14" t="s">
        <v>230</v>
      </c>
      <c r="T14" t="s">
        <v>231</v>
      </c>
      <c r="U14" t="s">
        <v>126</v>
      </c>
      <c r="V14" t="s">
        <v>67</v>
      </c>
      <c r="W14" t="s">
        <v>232</v>
      </c>
      <c r="X14" t="s">
        <v>233</v>
      </c>
    </row>
    <row r="15" spans="1:30">
      <c r="A15">
        <v>13</v>
      </c>
      <c r="B15" t="s">
        <v>234</v>
      </c>
      <c r="C15" t="s">
        <v>235</v>
      </c>
      <c r="D15" t="s">
        <v>236</v>
      </c>
      <c r="E15" t="s">
        <v>237</v>
      </c>
      <c r="F15">
        <v>1</v>
      </c>
      <c r="I15" t="s">
        <v>120</v>
      </c>
      <c r="M15" t="s">
        <v>227</v>
      </c>
      <c r="O15" t="s">
        <v>238</v>
      </c>
      <c r="P15" t="s">
        <v>229</v>
      </c>
      <c r="R15" t="s">
        <v>239</v>
      </c>
      <c r="T15" t="s">
        <v>240</v>
      </c>
      <c r="U15" t="s">
        <v>126</v>
      </c>
      <c r="V15" t="s">
        <v>67</v>
      </c>
      <c r="W15" t="s">
        <v>241</v>
      </c>
      <c r="X15" t="s">
        <v>242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2831-0BC2-423C-9859-27437374172D}">
  <sheetPr codeName="Sheet7"/>
  <dimension ref="A1:AE51"/>
  <sheetViews>
    <sheetView workbookViewId="0">
      <selection activeCell="B53" sqref="B53"/>
    </sheetView>
  </sheetViews>
  <sheetFormatPr defaultRowHeight="18"/>
  <cols>
    <col min="1" max="1" width="33.59765625" bestFit="1" customWidth="1"/>
    <col min="2" max="2" width="15.69921875" bestFit="1" customWidth="1"/>
    <col min="3" max="4" width="27.19921875" bestFit="1" customWidth="1"/>
    <col min="6" max="6" width="52.5" customWidth="1"/>
  </cols>
  <sheetData>
    <row r="1" spans="1:6">
      <c r="A1" s="8" t="s">
        <v>258</v>
      </c>
      <c r="B1" s="8" t="s">
        <v>259</v>
      </c>
      <c r="C1" s="8" t="s">
        <v>260</v>
      </c>
      <c r="D1" s="8" t="s">
        <v>261</v>
      </c>
      <c r="F1" t="str" cm="1">
        <f t="array" ref="F1">"["&amp;_xlfn.TEXTJOIN(", ",TRUE,""""&amp;A2:A23&amp;"""")&amp;"]"</f>
        <v>["不備", "ヤマト管理番号", "掲載号", "郵便番号", "住所①(都道府県)", "住所②（市町村・区）", "住所③（番地）", "住所④（建物名・部屋番号）", "カナ氏名（ふりがな）", "氏名", "敬称", "電話番号", "年齢", "性別", "学校欄", "学年", "職業", "会場（1東京／2大阪）", "参加人数", "当選確率アップ券(1・アップ券あり）", "チェック", "画像ファイル名"]</v>
      </c>
    </row>
    <row r="2" spans="1:6">
      <c r="A2" s="5" t="s">
        <v>262</v>
      </c>
      <c r="B2" s="5" t="s">
        <v>263</v>
      </c>
      <c r="C2" s="4" t="s">
        <v>264</v>
      </c>
      <c r="D2" s="5"/>
    </row>
    <row r="3" spans="1:6">
      <c r="A3" s="5" t="s">
        <v>252</v>
      </c>
      <c r="B3" s="5" t="s">
        <v>263</v>
      </c>
      <c r="C3" s="4" t="s">
        <v>264</v>
      </c>
      <c r="D3" s="5"/>
    </row>
    <row r="4" spans="1:6" ht="162">
      <c r="A4" s="5" t="s">
        <v>253</v>
      </c>
      <c r="B4" s="5" t="s">
        <v>265</v>
      </c>
      <c r="C4" s="5" t="s">
        <v>266</v>
      </c>
      <c r="D4" s="5" t="s">
        <v>267</v>
      </c>
      <c r="F4" s="10" t="s">
        <v>301</v>
      </c>
    </row>
    <row r="5" spans="1:6" ht="36">
      <c r="A5" s="5" t="s">
        <v>254</v>
      </c>
      <c r="B5" s="5" t="s">
        <v>263</v>
      </c>
      <c r="C5" s="5" t="s">
        <v>268</v>
      </c>
      <c r="D5" s="5" t="s">
        <v>269</v>
      </c>
    </row>
    <row r="6" spans="1:6">
      <c r="A6" s="5" t="s">
        <v>270</v>
      </c>
      <c r="B6" s="5" t="s">
        <v>271</v>
      </c>
      <c r="C6" s="5" t="s">
        <v>272</v>
      </c>
      <c r="D6" s="5"/>
    </row>
    <row r="7" spans="1:6">
      <c r="A7" s="5" t="s">
        <v>273</v>
      </c>
      <c r="B7" s="5" t="s">
        <v>271</v>
      </c>
      <c r="C7" s="5" t="s">
        <v>272</v>
      </c>
      <c r="D7" s="5"/>
    </row>
    <row r="8" spans="1:6">
      <c r="A8" s="5" t="s">
        <v>274</v>
      </c>
      <c r="B8" s="5" t="s">
        <v>265</v>
      </c>
      <c r="C8" s="5"/>
      <c r="D8" s="5" t="s">
        <v>275</v>
      </c>
    </row>
    <row r="9" spans="1:6">
      <c r="A9" s="5" t="s">
        <v>276</v>
      </c>
      <c r="B9" s="5" t="s">
        <v>265</v>
      </c>
      <c r="C9" s="5"/>
      <c r="D9" s="5" t="s">
        <v>275</v>
      </c>
    </row>
    <row r="10" spans="1:6">
      <c r="A10" s="5" t="s">
        <v>277</v>
      </c>
      <c r="B10" s="5" t="s">
        <v>278</v>
      </c>
      <c r="C10" s="5"/>
      <c r="D10" s="5" t="s">
        <v>279</v>
      </c>
    </row>
    <row r="11" spans="1:6">
      <c r="A11" s="5" t="s">
        <v>280</v>
      </c>
      <c r="B11" s="5" t="s">
        <v>281</v>
      </c>
      <c r="C11" s="5"/>
      <c r="D11" s="5" t="s">
        <v>279</v>
      </c>
    </row>
    <row r="12" spans="1:6" ht="28.8">
      <c r="A12" s="5" t="s">
        <v>251</v>
      </c>
      <c r="B12" s="5" t="s">
        <v>281</v>
      </c>
      <c r="C12" s="6" t="s">
        <v>282</v>
      </c>
      <c r="D12" s="5"/>
    </row>
    <row r="13" spans="1:6">
      <c r="A13" s="5" t="s">
        <v>197</v>
      </c>
      <c r="B13" s="5" t="s">
        <v>263</v>
      </c>
      <c r="C13" s="5"/>
      <c r="D13" s="5" t="s">
        <v>283</v>
      </c>
    </row>
    <row r="14" spans="1:6">
      <c r="A14" s="5" t="s">
        <v>214</v>
      </c>
      <c r="B14" s="5" t="s">
        <v>263</v>
      </c>
      <c r="C14" s="5"/>
      <c r="D14" s="5"/>
    </row>
    <row r="15" spans="1:6" ht="36">
      <c r="A15" s="5" t="s">
        <v>255</v>
      </c>
      <c r="B15" s="5" t="s">
        <v>263</v>
      </c>
      <c r="C15" s="5" t="s">
        <v>284</v>
      </c>
      <c r="D15" s="9" t="s">
        <v>285</v>
      </c>
    </row>
    <row r="16" spans="1:6" ht="54">
      <c r="A16" s="5" t="s">
        <v>256</v>
      </c>
      <c r="B16" s="5" t="s">
        <v>281</v>
      </c>
      <c r="C16" s="5" t="s">
        <v>286</v>
      </c>
      <c r="D16" s="5" t="s">
        <v>267</v>
      </c>
    </row>
    <row r="17" spans="1:4">
      <c r="A17" s="5" t="s">
        <v>287</v>
      </c>
      <c r="B17" s="5" t="s">
        <v>263</v>
      </c>
      <c r="C17" s="5"/>
      <c r="D17" s="5"/>
    </row>
    <row r="18" spans="1:4">
      <c r="A18" s="5" t="s">
        <v>257</v>
      </c>
      <c r="B18" s="5" t="s">
        <v>281</v>
      </c>
      <c r="C18" s="5"/>
      <c r="D18" s="5"/>
    </row>
    <row r="19" spans="1:4" ht="28.8">
      <c r="A19" s="5" t="s">
        <v>288</v>
      </c>
      <c r="B19" s="5" t="s">
        <v>263</v>
      </c>
      <c r="C19" s="7" t="s">
        <v>289</v>
      </c>
      <c r="D19" s="9"/>
    </row>
    <row r="20" spans="1:4">
      <c r="A20" s="5" t="s">
        <v>290</v>
      </c>
      <c r="B20" s="5" t="s">
        <v>263</v>
      </c>
      <c r="C20" s="5"/>
      <c r="D20" s="5"/>
    </row>
    <row r="21" spans="1:4">
      <c r="A21" s="5" t="s">
        <v>291</v>
      </c>
      <c r="B21" s="5" t="s">
        <v>263</v>
      </c>
      <c r="C21" s="5"/>
      <c r="D21" s="5" t="s">
        <v>292</v>
      </c>
    </row>
    <row r="22" spans="1:4">
      <c r="A22" s="9" t="s">
        <v>293</v>
      </c>
      <c r="B22" s="9" t="s">
        <v>263</v>
      </c>
      <c r="C22" s="9" t="s">
        <v>294</v>
      </c>
      <c r="D22" s="9" t="s">
        <v>295</v>
      </c>
    </row>
    <row r="23" spans="1:4">
      <c r="A23" s="5" t="s">
        <v>296</v>
      </c>
      <c r="B23" s="5"/>
      <c r="C23" s="5" t="s">
        <v>297</v>
      </c>
      <c r="D23" s="5"/>
    </row>
    <row r="33" spans="1:31">
      <c r="A33" t="s">
        <v>1</v>
      </c>
      <c r="B33" t="s">
        <v>2</v>
      </c>
      <c r="C33" t="s">
        <v>91</v>
      </c>
      <c r="D33" t="s">
        <v>3</v>
      </c>
      <c r="E33" t="s">
        <v>4</v>
      </c>
      <c r="F33" t="s">
        <v>5</v>
      </c>
      <c r="G33" t="s">
        <v>92</v>
      </c>
      <c r="H33" t="s">
        <v>93</v>
      </c>
      <c r="I33" t="s">
        <v>94</v>
      </c>
      <c r="J33" t="s">
        <v>15</v>
      </c>
      <c r="K33" t="s">
        <v>95</v>
      </c>
      <c r="L33" t="s">
        <v>96</v>
      </c>
      <c r="M33" t="s">
        <v>97</v>
      </c>
      <c r="N33" t="s">
        <v>98</v>
      </c>
      <c r="O33" t="s">
        <v>99</v>
      </c>
      <c r="P33" t="s">
        <v>100</v>
      </c>
      <c r="Q33" t="s">
        <v>101</v>
      </c>
      <c r="R33" t="s">
        <v>102</v>
      </c>
      <c r="S33" t="s">
        <v>103</v>
      </c>
      <c r="T33" t="s">
        <v>104</v>
      </c>
      <c r="U33" t="s">
        <v>105</v>
      </c>
      <c r="V33" t="s">
        <v>106</v>
      </c>
      <c r="W33" t="s">
        <v>107</v>
      </c>
      <c r="X33" t="s">
        <v>108</v>
      </c>
      <c r="Y33" t="s">
        <v>109</v>
      </c>
      <c r="Z33" t="s">
        <v>110</v>
      </c>
      <c r="AA33" t="s">
        <v>111</v>
      </c>
      <c r="AB33" t="s">
        <v>112</v>
      </c>
      <c r="AC33" t="s">
        <v>113</v>
      </c>
      <c r="AD33" t="s">
        <v>114</v>
      </c>
      <c r="AE33" t="s">
        <v>310</v>
      </c>
    </row>
    <row r="34" spans="1:31">
      <c r="A34">
        <v>0</v>
      </c>
      <c r="B34" t="s">
        <v>311</v>
      </c>
      <c r="C34" t="s">
        <v>312</v>
      </c>
      <c r="D34" t="s">
        <v>117</v>
      </c>
      <c r="E34" t="s">
        <v>118</v>
      </c>
      <c r="F34">
        <v>-1</v>
      </c>
      <c r="I34" t="s">
        <v>120</v>
      </c>
      <c r="M34" t="s">
        <v>121</v>
      </c>
      <c r="O34" t="s">
        <v>122</v>
      </c>
      <c r="P34" t="s">
        <v>123</v>
      </c>
      <c r="R34" t="s">
        <v>124</v>
      </c>
      <c r="T34" t="s">
        <v>313</v>
      </c>
      <c r="U34" t="s">
        <v>126</v>
      </c>
      <c r="V34" t="s">
        <v>67</v>
      </c>
      <c r="W34" t="s">
        <v>314</v>
      </c>
      <c r="X34" t="s">
        <v>80</v>
      </c>
    </row>
    <row r="35" spans="1:31">
      <c r="A35">
        <v>1</v>
      </c>
      <c r="B35" t="s">
        <v>315</v>
      </c>
      <c r="C35" t="s">
        <v>316</v>
      </c>
      <c r="D35" t="s">
        <v>129</v>
      </c>
      <c r="E35" t="s">
        <v>130</v>
      </c>
      <c r="F35">
        <v>0</v>
      </c>
      <c r="H35" t="s">
        <v>149</v>
      </c>
      <c r="I35" t="s">
        <v>146</v>
      </c>
      <c r="J35" t="s">
        <v>210</v>
      </c>
      <c r="M35" t="s">
        <v>121</v>
      </c>
      <c r="O35" t="s">
        <v>131</v>
      </c>
      <c r="P35" t="s">
        <v>123</v>
      </c>
      <c r="R35" t="s">
        <v>132</v>
      </c>
      <c r="T35" t="s">
        <v>309</v>
      </c>
      <c r="U35" t="s">
        <v>126</v>
      </c>
      <c r="V35" t="s">
        <v>67</v>
      </c>
      <c r="X35" t="s">
        <v>308</v>
      </c>
      <c r="AA35" t="s">
        <v>67</v>
      </c>
    </row>
    <row r="36" spans="1:31">
      <c r="A36">
        <v>2</v>
      </c>
      <c r="B36" t="s">
        <v>317</v>
      </c>
      <c r="C36" t="s">
        <v>116</v>
      </c>
      <c r="D36" t="s">
        <v>137</v>
      </c>
      <c r="E36" t="s">
        <v>138</v>
      </c>
      <c r="F36">
        <v>0</v>
      </c>
      <c r="I36" t="s">
        <v>159</v>
      </c>
      <c r="M36" t="s">
        <v>121</v>
      </c>
      <c r="O36" t="s">
        <v>139</v>
      </c>
      <c r="P36" t="s">
        <v>123</v>
      </c>
      <c r="R36" t="s">
        <v>140</v>
      </c>
      <c r="T36" t="s">
        <v>317</v>
      </c>
      <c r="U36" t="s">
        <v>126</v>
      </c>
      <c r="V36" t="s">
        <v>67</v>
      </c>
      <c r="X36" t="s">
        <v>300</v>
      </c>
    </row>
    <row r="37" spans="1:31">
      <c r="A37">
        <v>3</v>
      </c>
      <c r="B37" t="s">
        <v>318</v>
      </c>
      <c r="C37" t="s">
        <v>116</v>
      </c>
      <c r="D37" t="s">
        <v>147</v>
      </c>
      <c r="E37" t="s">
        <v>148</v>
      </c>
      <c r="F37">
        <v>0</v>
      </c>
      <c r="I37" t="s">
        <v>89</v>
      </c>
      <c r="M37" t="s">
        <v>150</v>
      </c>
      <c r="O37" t="s">
        <v>151</v>
      </c>
      <c r="P37" t="s">
        <v>152</v>
      </c>
      <c r="R37" t="s">
        <v>153</v>
      </c>
      <c r="T37" t="s">
        <v>319</v>
      </c>
      <c r="U37" t="s">
        <v>126</v>
      </c>
      <c r="V37" t="s">
        <v>67</v>
      </c>
      <c r="X37" t="s">
        <v>304</v>
      </c>
    </row>
    <row r="38" spans="1:31">
      <c r="A38">
        <v>4</v>
      </c>
      <c r="B38" t="s">
        <v>320</v>
      </c>
      <c r="C38" t="s">
        <v>116</v>
      </c>
      <c r="D38" t="s">
        <v>157</v>
      </c>
      <c r="E38" t="s">
        <v>158</v>
      </c>
      <c r="F38">
        <v>0</v>
      </c>
      <c r="I38" t="s">
        <v>120</v>
      </c>
      <c r="M38" t="s">
        <v>150</v>
      </c>
      <c r="O38" t="s">
        <v>160</v>
      </c>
      <c r="P38" t="s">
        <v>152</v>
      </c>
      <c r="R38" t="s">
        <v>161</v>
      </c>
      <c r="T38" t="s">
        <v>321</v>
      </c>
      <c r="U38" t="s">
        <v>126</v>
      </c>
      <c r="V38" t="s">
        <v>67</v>
      </c>
      <c r="X38" t="s">
        <v>305</v>
      </c>
    </row>
    <row r="39" spans="1:31">
      <c r="A39">
        <v>5</v>
      </c>
      <c r="B39" t="s">
        <v>322</v>
      </c>
      <c r="C39" t="s">
        <v>116</v>
      </c>
      <c r="D39" t="s">
        <v>165</v>
      </c>
      <c r="E39" t="s">
        <v>166</v>
      </c>
      <c r="F39">
        <v>0</v>
      </c>
      <c r="I39" t="s">
        <v>120</v>
      </c>
      <c r="M39" t="s">
        <v>150</v>
      </c>
      <c r="O39" t="s">
        <v>168</v>
      </c>
      <c r="P39" t="s">
        <v>152</v>
      </c>
      <c r="R39" t="s">
        <v>169</v>
      </c>
      <c r="T39" t="s">
        <v>323</v>
      </c>
      <c r="U39" t="s">
        <v>126</v>
      </c>
      <c r="V39" t="s">
        <v>67</v>
      </c>
      <c r="X39" t="s">
        <v>306</v>
      </c>
    </row>
    <row r="40" spans="1:31">
      <c r="A40">
        <v>6</v>
      </c>
      <c r="B40" t="s">
        <v>324</v>
      </c>
      <c r="C40" t="s">
        <v>116</v>
      </c>
      <c r="D40" t="s">
        <v>173</v>
      </c>
      <c r="E40" t="s">
        <v>174</v>
      </c>
      <c r="F40">
        <v>0</v>
      </c>
      <c r="H40" t="s">
        <v>119</v>
      </c>
      <c r="I40" t="s">
        <v>120</v>
      </c>
      <c r="M40" t="s">
        <v>177</v>
      </c>
      <c r="O40" t="s">
        <v>178</v>
      </c>
      <c r="P40" t="s">
        <v>179</v>
      </c>
      <c r="R40" t="s">
        <v>180</v>
      </c>
      <c r="T40" t="s">
        <v>325</v>
      </c>
      <c r="U40" t="s">
        <v>126</v>
      </c>
      <c r="V40" t="s">
        <v>67</v>
      </c>
      <c r="X40" t="s">
        <v>81</v>
      </c>
      <c r="AA40" t="s">
        <v>67</v>
      </c>
    </row>
    <row r="41" spans="1:31">
      <c r="A41">
        <v>7</v>
      </c>
      <c r="B41" t="s">
        <v>135</v>
      </c>
      <c r="C41" t="s">
        <v>116</v>
      </c>
      <c r="D41" t="s">
        <v>184</v>
      </c>
      <c r="E41" t="s">
        <v>185</v>
      </c>
      <c r="F41">
        <v>0</v>
      </c>
      <c r="H41" t="s">
        <v>119</v>
      </c>
      <c r="I41" t="s">
        <v>120</v>
      </c>
      <c r="M41" t="s">
        <v>177</v>
      </c>
      <c r="O41" t="s">
        <v>186</v>
      </c>
      <c r="P41" t="s">
        <v>179</v>
      </c>
      <c r="R41" t="s">
        <v>187</v>
      </c>
      <c r="T41" t="s">
        <v>326</v>
      </c>
      <c r="U41" t="s">
        <v>126</v>
      </c>
      <c r="V41" t="s">
        <v>67</v>
      </c>
      <c r="X41" t="s">
        <v>55</v>
      </c>
    </row>
    <row r="42" spans="1:31">
      <c r="A42">
        <v>8</v>
      </c>
      <c r="B42" t="s">
        <v>190</v>
      </c>
      <c r="C42" t="s">
        <v>243</v>
      </c>
      <c r="D42" t="s">
        <v>192</v>
      </c>
      <c r="E42" t="s">
        <v>193</v>
      </c>
      <c r="F42">
        <v>0</v>
      </c>
      <c r="H42" t="s">
        <v>149</v>
      </c>
      <c r="I42" t="s">
        <v>120</v>
      </c>
      <c r="J42" t="s">
        <v>210</v>
      </c>
      <c r="M42" t="s">
        <v>177</v>
      </c>
      <c r="O42" t="s">
        <v>194</v>
      </c>
      <c r="P42" t="s">
        <v>179</v>
      </c>
      <c r="R42" t="s">
        <v>195</v>
      </c>
      <c r="T42" t="s">
        <v>327</v>
      </c>
      <c r="U42" t="s">
        <v>126</v>
      </c>
      <c r="V42" t="s">
        <v>67</v>
      </c>
      <c r="X42" t="s">
        <v>56</v>
      </c>
    </row>
    <row r="43" spans="1:31">
      <c r="A43">
        <v>9</v>
      </c>
      <c r="B43" t="s">
        <v>328</v>
      </c>
      <c r="C43" t="s">
        <v>244</v>
      </c>
      <c r="D43" t="s">
        <v>199</v>
      </c>
      <c r="E43" t="s">
        <v>200</v>
      </c>
      <c r="F43">
        <v>0</v>
      </c>
      <c r="H43" t="s">
        <v>149</v>
      </c>
      <c r="I43" t="s">
        <v>120</v>
      </c>
      <c r="J43" t="s">
        <v>210</v>
      </c>
      <c r="M43" t="s">
        <v>201</v>
      </c>
      <c r="O43" t="s">
        <v>202</v>
      </c>
      <c r="P43" t="s">
        <v>203</v>
      </c>
      <c r="R43" t="s">
        <v>204</v>
      </c>
      <c r="T43" t="s">
        <v>329</v>
      </c>
      <c r="U43" t="s">
        <v>126</v>
      </c>
      <c r="V43" t="s">
        <v>67</v>
      </c>
      <c r="X43" t="s">
        <v>82</v>
      </c>
    </row>
    <row r="44" spans="1:31">
      <c r="A44">
        <v>10</v>
      </c>
      <c r="B44" t="s">
        <v>330</v>
      </c>
      <c r="C44" t="s">
        <v>244</v>
      </c>
      <c r="D44" t="s">
        <v>208</v>
      </c>
      <c r="E44" t="s">
        <v>209</v>
      </c>
      <c r="F44">
        <v>0</v>
      </c>
      <c r="H44" t="s">
        <v>149</v>
      </c>
      <c r="I44" t="s">
        <v>120</v>
      </c>
      <c r="J44" t="s">
        <v>331</v>
      </c>
      <c r="M44" t="s">
        <v>201</v>
      </c>
      <c r="O44" t="s">
        <v>211</v>
      </c>
      <c r="P44" t="s">
        <v>203</v>
      </c>
      <c r="R44" t="s">
        <v>212</v>
      </c>
      <c r="T44" t="s">
        <v>303</v>
      </c>
      <c r="U44" t="s">
        <v>126</v>
      </c>
      <c r="V44" t="s">
        <v>67</v>
      </c>
      <c r="X44" t="s">
        <v>83</v>
      </c>
    </row>
    <row r="45" spans="1:31">
      <c r="A45">
        <v>11</v>
      </c>
      <c r="B45" t="s">
        <v>332</v>
      </c>
      <c r="C45" t="s">
        <v>235</v>
      </c>
      <c r="D45" t="s">
        <v>217</v>
      </c>
      <c r="E45" t="s">
        <v>218</v>
      </c>
      <c r="F45">
        <v>0</v>
      </c>
      <c r="I45" t="s">
        <v>120</v>
      </c>
      <c r="J45" t="s">
        <v>210</v>
      </c>
      <c r="M45" t="s">
        <v>201</v>
      </c>
      <c r="O45" t="s">
        <v>219</v>
      </c>
      <c r="P45" t="s">
        <v>203</v>
      </c>
      <c r="R45" t="s">
        <v>220</v>
      </c>
      <c r="T45" t="s">
        <v>333</v>
      </c>
      <c r="U45" t="s">
        <v>126</v>
      </c>
      <c r="V45" t="s">
        <v>67</v>
      </c>
      <c r="W45" t="s">
        <v>248</v>
      </c>
      <c r="X45" t="s">
        <v>84</v>
      </c>
      <c r="AA45" t="s">
        <v>67</v>
      </c>
    </row>
    <row r="46" spans="1:31">
      <c r="A46">
        <v>12</v>
      </c>
      <c r="B46" t="s">
        <v>334</v>
      </c>
      <c r="C46" t="s">
        <v>244</v>
      </c>
      <c r="D46" t="s">
        <v>225</v>
      </c>
      <c r="E46" t="s">
        <v>226</v>
      </c>
      <c r="F46">
        <v>0</v>
      </c>
      <c r="H46" t="s">
        <v>149</v>
      </c>
      <c r="I46" t="s">
        <v>120</v>
      </c>
      <c r="J46" t="s">
        <v>210</v>
      </c>
      <c r="M46" t="s">
        <v>227</v>
      </c>
      <c r="O46" t="s">
        <v>228</v>
      </c>
      <c r="P46" t="s">
        <v>229</v>
      </c>
      <c r="R46" t="s">
        <v>230</v>
      </c>
      <c r="T46" t="s">
        <v>335</v>
      </c>
      <c r="U46" t="s">
        <v>126</v>
      </c>
      <c r="V46" t="s">
        <v>67</v>
      </c>
      <c r="X46" t="s">
        <v>85</v>
      </c>
    </row>
    <row r="47" spans="1:31">
      <c r="A47">
        <v>13</v>
      </c>
      <c r="B47" t="s">
        <v>336</v>
      </c>
      <c r="C47" t="s">
        <v>116</v>
      </c>
      <c r="D47" t="s">
        <v>236</v>
      </c>
      <c r="E47" t="s">
        <v>237</v>
      </c>
      <c r="F47">
        <v>0</v>
      </c>
      <c r="H47" t="s">
        <v>119</v>
      </c>
      <c r="I47" t="s">
        <v>120</v>
      </c>
      <c r="M47" t="s">
        <v>227</v>
      </c>
      <c r="O47" t="s">
        <v>238</v>
      </c>
      <c r="P47" t="s">
        <v>229</v>
      </c>
      <c r="R47" t="s">
        <v>239</v>
      </c>
      <c r="T47" t="s">
        <v>337</v>
      </c>
      <c r="U47" t="s">
        <v>126</v>
      </c>
      <c r="V47" t="s">
        <v>67</v>
      </c>
      <c r="X47" t="s">
        <v>86</v>
      </c>
    </row>
    <row r="48" spans="1:31">
      <c r="A48">
        <v>14</v>
      </c>
      <c r="B48" t="s">
        <v>338</v>
      </c>
      <c r="C48" t="s">
        <v>244</v>
      </c>
      <c r="D48" t="s">
        <v>339</v>
      </c>
      <c r="E48" t="s">
        <v>340</v>
      </c>
      <c r="F48">
        <v>0</v>
      </c>
      <c r="H48" t="s">
        <v>149</v>
      </c>
      <c r="I48" t="s">
        <v>120</v>
      </c>
      <c r="J48" t="s">
        <v>210</v>
      </c>
      <c r="M48" t="s">
        <v>227</v>
      </c>
      <c r="O48" t="s">
        <v>341</v>
      </c>
      <c r="P48" t="s">
        <v>229</v>
      </c>
      <c r="R48" t="s">
        <v>342</v>
      </c>
      <c r="T48" t="s">
        <v>343</v>
      </c>
      <c r="U48" t="s">
        <v>126</v>
      </c>
      <c r="V48" t="s">
        <v>67</v>
      </c>
      <c r="X48" t="s">
        <v>307</v>
      </c>
    </row>
    <row r="49" spans="1:31">
      <c r="A49">
        <v>15</v>
      </c>
      <c r="B49" t="s">
        <v>344</v>
      </c>
      <c r="C49" t="s">
        <v>244</v>
      </c>
      <c r="D49" t="s">
        <v>345</v>
      </c>
      <c r="E49" t="s">
        <v>346</v>
      </c>
      <c r="F49">
        <v>0</v>
      </c>
      <c r="H49" t="s">
        <v>149</v>
      </c>
      <c r="I49" t="s">
        <v>120</v>
      </c>
      <c r="J49" t="s">
        <v>210</v>
      </c>
      <c r="M49" t="s">
        <v>347</v>
      </c>
      <c r="O49" t="s">
        <v>348</v>
      </c>
      <c r="P49" t="s">
        <v>349</v>
      </c>
      <c r="R49" t="s">
        <v>350</v>
      </c>
      <c r="T49" t="s">
        <v>351</v>
      </c>
      <c r="U49" t="s">
        <v>126</v>
      </c>
      <c r="V49" t="s">
        <v>67</v>
      </c>
      <c r="X49" t="s">
        <v>87</v>
      </c>
    </row>
    <row r="50" spans="1:31">
      <c r="A50">
        <v>16</v>
      </c>
      <c r="B50" t="s">
        <v>352</v>
      </c>
      <c r="C50" t="s">
        <v>244</v>
      </c>
      <c r="D50" t="s">
        <v>353</v>
      </c>
      <c r="E50" t="s">
        <v>354</v>
      </c>
      <c r="F50">
        <v>0</v>
      </c>
      <c r="H50" t="s">
        <v>149</v>
      </c>
      <c r="I50" t="s">
        <v>120</v>
      </c>
      <c r="J50" t="s">
        <v>210</v>
      </c>
      <c r="M50" t="s">
        <v>347</v>
      </c>
      <c r="O50" t="s">
        <v>355</v>
      </c>
      <c r="P50" t="s">
        <v>349</v>
      </c>
      <c r="R50" t="s">
        <v>356</v>
      </c>
      <c r="T50" t="s">
        <v>302</v>
      </c>
      <c r="U50" t="s">
        <v>126</v>
      </c>
      <c r="V50" t="s">
        <v>67</v>
      </c>
      <c r="X50" t="s">
        <v>88</v>
      </c>
    </row>
    <row r="51" spans="1:31">
      <c r="A51">
        <v>17</v>
      </c>
      <c r="B51" t="s">
        <v>357</v>
      </c>
      <c r="C51" t="s">
        <v>358</v>
      </c>
      <c r="D51" t="s">
        <v>359</v>
      </c>
      <c r="E51" t="s">
        <v>360</v>
      </c>
      <c r="F51">
        <v>1</v>
      </c>
      <c r="H51" t="s">
        <v>149</v>
      </c>
      <c r="I51" t="s">
        <v>120</v>
      </c>
      <c r="J51" t="s">
        <v>210</v>
      </c>
      <c r="M51" t="s">
        <v>347</v>
      </c>
      <c r="O51" t="s">
        <v>361</v>
      </c>
      <c r="P51" t="s">
        <v>349</v>
      </c>
      <c r="R51" t="s">
        <v>362</v>
      </c>
      <c r="T51" t="s">
        <v>298</v>
      </c>
      <c r="U51" t="s">
        <v>126</v>
      </c>
      <c r="V51" t="s">
        <v>67</v>
      </c>
      <c r="X51" t="s">
        <v>363</v>
      </c>
      <c r="AE51">
        <v>1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2968-55A0-4E9F-9845-25B01FE246B4}">
  <dimension ref="A1:A2"/>
  <sheetViews>
    <sheetView workbookViewId="0">
      <selection activeCell="A2" sqref="A2"/>
    </sheetView>
  </sheetViews>
  <sheetFormatPr defaultRowHeight="18"/>
  <sheetData>
    <row r="1" spans="1:1">
      <c r="A1" t="s">
        <v>424</v>
      </c>
    </row>
    <row r="2" spans="1:1">
      <c r="A2" t="e" cm="1">
        <f t="array" ref="A2">_xlfn.TEXTJOIN(", ",FALSE,"'"&amp;#REF!&amp;"'")</f>
        <v>#REF!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C333-4E3D-490B-9520-7E0288783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入力仕様</vt:lpstr>
      <vt:lpstr>変換前のテーブル</vt:lpstr>
      <vt:lpstr>result</vt:lpstr>
      <vt:lpstr>calcu1</vt:lpstr>
      <vt:lpstr>calcu2</vt:lpstr>
      <vt:lpstr>config</vt:lpstr>
      <vt:lpstr>名刺サンプル</vt:lpstr>
      <vt:lpstr>Memo</vt:lpstr>
      <vt:lpstr>ヘッダーリスト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 naga</dc:creator>
  <cp:lastModifiedBy>永井 秀和</cp:lastModifiedBy>
  <dcterms:created xsi:type="dcterms:W3CDTF">2015-06-05T18:19:34Z</dcterms:created>
  <dcterms:modified xsi:type="dcterms:W3CDTF">2025-05-13T01:07:09Z</dcterms:modified>
</cp:coreProperties>
</file>